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esktop\"/>
    </mc:Choice>
  </mc:AlternateContent>
  <bookViews>
    <workbookView xWindow="0" yWindow="0" windowWidth="19635" windowHeight="7620" firstSheet="1" activeTab="6"/>
  </bookViews>
  <sheets>
    <sheet name="release trend" sheetId="2" r:id="rId1"/>
    <sheet name="movie vs tv" sheetId="3" r:id="rId2"/>
    <sheet name="top 5 countries" sheetId="4" r:id="rId3"/>
    <sheet name="genere chart" sheetId="5" r:id="rId4"/>
    <sheet name="dashboard" sheetId="6" r:id="rId5"/>
    <sheet name="Sheet2" sheetId="7" r:id="rId6"/>
    <sheet name="sheet" sheetId="1" r:id="rId7"/>
  </sheets>
  <definedNames>
    <definedName name="Slicer_country">#N/A</definedName>
    <definedName name="Slicer_release_year">#N/A</definedName>
    <definedName name="Slicer_type">#N/A</definedName>
  </definedNames>
  <calcPr calcId="162913"/>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 r="I13" i="1"/>
  <c r="I12" i="1"/>
  <c r="I11" i="1"/>
  <c r="I3" i="1"/>
  <c r="I2" i="1"/>
  <c r="I1" i="1"/>
</calcChain>
</file>

<file path=xl/sharedStrings.xml><?xml version="1.0" encoding="utf-8"?>
<sst xmlns="http://schemas.openxmlformats.org/spreadsheetml/2006/main" count="103" uniqueCount="58">
  <si>
    <t>type</t>
  </si>
  <si>
    <t>(All)</t>
  </si>
  <si>
    <t>Row Labels</t>
  </si>
  <si>
    <t>Count of title</t>
  </si>
  <si>
    <t>Grand Total</t>
  </si>
  <si>
    <t>Movie</t>
  </si>
  <si>
    <t>TV Show</t>
  </si>
  <si>
    <t>Germany</t>
  </si>
  <si>
    <t>Spain</t>
  </si>
  <si>
    <t>United Kingdom</t>
  </si>
  <si>
    <t>United States</t>
  </si>
  <si>
    <t>Count of listed_in</t>
  </si>
  <si>
    <t>Sci-Fi, Thriller</t>
  </si>
  <si>
    <t>Horror, Thriller</t>
  </si>
  <si>
    <t>Drama, Sci-Fi</t>
  </si>
  <si>
    <t>Drama, History</t>
  </si>
  <si>
    <t>Crime, Thriller</t>
  </si>
  <si>
    <t>Crime, Drama</t>
  </si>
  <si>
    <t>Comedy, Mystery</t>
  </si>
  <si>
    <t>Action, Thriller</t>
  </si>
  <si>
    <t>Action, Comedy</t>
  </si>
  <si>
    <t xml:space="preserve"> </t>
  </si>
  <si>
    <t>Count of show_id</t>
  </si>
  <si>
    <t>show_id</t>
  </si>
  <si>
    <t>title</t>
  </si>
  <si>
    <t>country</t>
  </si>
  <si>
    <t>release_year</t>
  </si>
  <si>
    <t>listed_in</t>
  </si>
  <si>
    <t>TOTAL CONTENT</t>
  </si>
  <si>
    <t>s1</t>
  </si>
  <si>
    <t>Inception</t>
  </si>
  <si>
    <t>Sci-Fi</t>
  </si>
  <si>
    <t>MOVIES COUNT</t>
  </si>
  <si>
    <t>s2</t>
  </si>
  <si>
    <t>Stranger Things</t>
  </si>
  <si>
    <t>Drama</t>
  </si>
  <si>
    <t>TV SHOWS COUNT</t>
  </si>
  <si>
    <t>s3</t>
  </si>
  <si>
    <t>The Irishman</t>
  </si>
  <si>
    <t>Crime</t>
  </si>
  <si>
    <t>s4</t>
  </si>
  <si>
    <t>Money Heist</t>
  </si>
  <si>
    <t>s5</t>
  </si>
  <si>
    <t>Extraction</t>
  </si>
  <si>
    <t>Action</t>
  </si>
  <si>
    <t>s6</t>
  </si>
  <si>
    <t>Dark</t>
  </si>
  <si>
    <t>s7</t>
  </si>
  <si>
    <t>Bird Box</t>
  </si>
  <si>
    <t>Horror</t>
  </si>
  <si>
    <t>s8</t>
  </si>
  <si>
    <t>The Crown</t>
  </si>
  <si>
    <t>s9</t>
  </si>
  <si>
    <t>Red Notice</t>
  </si>
  <si>
    <t>count</t>
  </si>
  <si>
    <t>s10</t>
  </si>
  <si>
    <t>Wednesday</t>
  </si>
  <si>
    <t>Comedy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</si>
</sst>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color theme="1"/>
      <name val="Calibri"/>
      <charset val="134"/>
      <scheme val="minor"/>
    </font>
  </fonts>
  <fills count="3">
    <fill>
      <patternFill patternType="none"/>
    </fill>
    <fill>
      <patternFill patternType="gray125"/>
    </fill>
    <fill>
      <patternFill patternType="solid">
        <fgColor theme="2" tint="-0.89996032593768116"/>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0" fillId="2" borderId="0" xfId="0" applyFill="1"/>
    <xf numFmtId="0" fontId="0" fillId="0" borderId="0" xfId="0" pivotButton="1"/>
    <xf numFmtId="0" fontId="0" fillId="0" borderId="0" xfId="0" applyNumberFormat="1"/>
  </cellXfs>
  <cellStyles count="1">
    <cellStyle name="Normal" xfId="0" builtinId="0"/>
  </cellStyles>
  <dxfs count="8">
    <dxf>
      <font>
        <b/>
        <i val="0"/>
        <sz val="26"/>
        <color rgb="FFCC0000"/>
      </font>
      <fill>
        <patternFill>
          <bgColor theme="1"/>
        </patternFill>
      </fill>
    </dxf>
    <dxf>
      <fill>
        <patternFill>
          <bgColor theme="1"/>
        </patternFill>
      </fill>
    </dxf>
    <dxf>
      <font>
        <b/>
        <i val="0"/>
        <sz val="26"/>
        <color rgb="FFCC0000"/>
      </font>
      <fill>
        <patternFill>
          <bgColor theme="1"/>
        </patternFill>
      </fill>
    </dxf>
    <dxf>
      <font>
        <b/>
        <i val="0"/>
        <sz val="24"/>
        <color rgb="FFCC0000"/>
      </font>
      <fill>
        <patternFill>
          <bgColor theme="1" tint="4.9989318521683403E-2"/>
        </patternFill>
      </fill>
    </dxf>
    <dxf>
      <font>
        <b/>
        <i val="0"/>
        <sz val="22"/>
      </font>
      <fill>
        <patternFill>
          <bgColor theme="1"/>
        </patternFill>
      </fill>
    </dxf>
    <dxf>
      <font>
        <b/>
        <i val="0"/>
        <sz val="22"/>
        <color rgb="FFCC0000"/>
      </font>
    </dxf>
    <dxf>
      <font>
        <b/>
        <i val="0"/>
        <sz val="14"/>
        <color rgb="FFCC0000"/>
      </font>
      <fill>
        <patternFill>
          <bgColor theme="1"/>
        </patternFill>
      </fill>
    </dxf>
    <dxf>
      <fill>
        <patternFill>
          <bgColor theme="1"/>
        </patternFill>
      </fill>
    </dxf>
  </dxfs>
  <tableStyles count="10" defaultTableStyle="TableStyleMedium2" defaultPivotStyle="PivotStyleLight16">
    <tableStyle name="change netflix" pivot="0" table="0" count="1"/>
    <tableStyle name="netflix change" pivot="0" table="0" count="0"/>
    <tableStyle name="netflix style" pivot="0" table="0" count="4">
      <tableStyleElement type="wholeTable" dxfId="7"/>
      <tableStyleElement type="headerRow" dxfId="6"/>
    </tableStyle>
    <tableStyle name="netflix style " pivot="0" table="0" count="0"/>
    <tableStyle name="Slicer Style 1" pivot="0" table="0" count="1"/>
    <tableStyle name="Slicer Style 2" pivot="0" table="0" count="1">
      <tableStyleElement type="headerRow" dxfId="5"/>
    </tableStyle>
    <tableStyle name="Slicer Style 3" pivot="0" table="0" count="3">
      <tableStyleElement type="headerRow" dxfId="4"/>
    </tableStyle>
    <tableStyle name="Slicer Style 4" pivot="0" table="0" count="1">
      <tableStyleElement type="headerRow" dxfId="3"/>
    </tableStyle>
    <tableStyle name="Slicer Style 5" pivot="0" table="0" count="3">
      <tableStyleElement type="headerRow" dxfId="2"/>
    </tableStyle>
    <tableStyle name="Slicer Style 5 2" pivot="0" table="0" count="6">
      <tableStyleElement type="wholeTable" dxfId="1"/>
      <tableStyleElement type="headerRow" dxfId="0"/>
    </tableStyle>
  </tableStyles>
  <colors>
    <mruColors>
      <color rgb="FFCC0000"/>
      <color rgb="FF000000"/>
      <color rgb="FF1C1C1C"/>
    </mruColors>
  </colors>
  <extLst>
    <ext xmlns:x14="http://schemas.microsoft.com/office/spreadsheetml/2009/9/main" uri="{46F421CA-312F-682f-3DD2-61675219B42D}">
      <x14:dxfs count="12">
        <dxf>
          <font>
            <b/>
            <i val="0"/>
            <sz val="28"/>
            <color rgb="FFCC0000"/>
          </font>
          <fill>
            <patternFill>
              <bgColor theme="1"/>
            </patternFill>
          </fill>
        </dxf>
        <dxf>
          <font>
            <b/>
            <i val="0"/>
            <sz val="24"/>
            <color rgb="FFCC0000"/>
          </font>
          <fill>
            <patternFill>
              <bgColor theme="1"/>
            </patternFill>
          </fill>
        </dxf>
        <dxf>
          <fill>
            <patternFill>
              <bgColor theme="1"/>
            </patternFill>
          </fill>
        </dxf>
        <dxf>
          <fill>
            <patternFill>
              <bgColor theme="1"/>
            </patternFill>
          </fill>
        </dxf>
        <dxf>
          <font>
            <b/>
            <i val="0"/>
            <sz val="28"/>
            <color rgb="FFCC0000"/>
          </font>
          <fill>
            <patternFill>
              <bgColor theme="1"/>
            </patternFill>
          </fill>
        </dxf>
        <dxf>
          <font>
            <b/>
            <i val="0"/>
            <sz val="24"/>
            <color rgb="FFCC0000"/>
          </font>
          <fill>
            <patternFill>
              <bgColor theme="1"/>
            </patternFill>
          </fill>
        </dxf>
        <dxf>
          <font>
            <b/>
            <i val="0"/>
            <sz val="14"/>
          </font>
          <fill>
            <patternFill>
              <bgColor theme="1" tint="0.24994659260841701"/>
            </patternFill>
          </fill>
        </dxf>
        <dxf>
          <font>
            <b/>
            <i val="0"/>
            <sz val="18"/>
            <color rgb="FFCC0000"/>
          </font>
          <fill>
            <patternFill>
              <bgColor theme="1" tint="0.24994659260841701"/>
            </patternFill>
          </fill>
        </dxf>
        <dxf>
          <font>
            <b/>
            <i val="0"/>
            <sz val="22"/>
            <color rgb="FFC00000"/>
          </font>
          <fill>
            <patternFill patternType="solid">
              <fgColor theme="1"/>
              <bgColor theme="1"/>
            </patternFill>
          </fill>
        </dxf>
        <dxf>
          <font>
            <b/>
            <i val="0"/>
            <color rgb="FFCC0000"/>
          </font>
        </dxf>
        <dxf>
          <fill>
            <patternFill>
              <bgColor theme="1" tint="0.24994659260841701"/>
            </patternFill>
          </fill>
        </dxf>
        <dxf>
          <font>
            <b/>
            <i val="0"/>
            <sz val="16"/>
            <color rgb="FFCC0000"/>
          </font>
          <fill>
            <patternFill>
              <bgColor theme="1" tint="0.24994659260841701"/>
            </patternFill>
          </fill>
        </dxf>
      </x14:dxfs>
    </ext>
    <ext xmlns:x14="http://schemas.microsoft.com/office/spreadsheetml/2009/9/main" uri="{EB79DEF2-80B8-43e5-95BD-54CBDDF9020C}">
      <x14:slicerStyles defaultSlicerStyle="change netflix">
        <x14:slicerStyle name="change netflix">
          <x14:slicerStyleElements>
            <x14:slicerStyleElement type="selectedItemWithData" dxfId="11"/>
          </x14:slicerStyleElements>
        </x14:slicerStyle>
        <x14:slicerStyle name="netflix change"/>
        <x14:slicerStyle name="netflix style">
          <x14:slicerStyleElements>
            <x14:slicerStyleElement type="unselectedItemWithData" dxfId="10"/>
            <x14:slicerStyleElement type="selectedItemWithData" dxfId="9"/>
          </x14:slicerStyleElements>
        </x14:slicerStyle>
        <x14:slicerStyle name="netflix style "/>
        <x14:slicerStyle name="Slicer Style 1">
          <x14:slicerStyleElements>
            <x14:slicerStyleElement type="selectedItemWithData" dxfId="8"/>
          </x14:slicerStyleElements>
        </x14:slicerStyle>
        <x14:slicerStyle name="Slicer Style 2"/>
        <x14:slicerStyle name="Slicer Style 3">
          <x14:slicerStyleElements>
            <x14:slicerStyleElement type="selectedItemWithData" dxfId="7"/>
            <x14:slicerStyleElement type="selectedItemWithNoData" dxfId="6"/>
          </x14:slicerStyleElements>
        </x14:slicerStyle>
        <x14:slicerStyle name="Slicer Style 4"/>
        <x14:slicerStyle name="Slicer Style 5">
          <x14:slicerStyleElements>
            <x14:slicerStyleElement type="selectedItemWithData" dxfId="5"/>
            <x14:slicerStyleElement type="selectedItemWithNoData" dxfId="4"/>
          </x14:slicerStyleElements>
        </x14:slicerStyle>
        <x14:slicerStyle name="Slicer Style 5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[Netflix_Dashboard.xlsx]top 5 countries!PivotTable2</c:name>
    <c:fmtId val="5"/>
  </c:pivotSource>
  <c:chart>
    <c:title>
      <c:tx>
        <c:rich>
          <a:bodyPr rot="0" spcFirstLastPara="1" vertOverflow="ellipsis" vert="horz" wrap="square" anchor="ctr" anchorCtr="1"/>
          <a:lstStyle/>
          <a:p>
            <a:pPr>
              <a:defRPr lang="en-US" sz="1400" b="0" i="0" u="none" strike="noStrike" kern="1200" spc="0" baseline="0">
                <a:solidFill>
                  <a:schemeClr val="lt1"/>
                </a:solidFill>
                <a:latin typeface="+mn-lt"/>
                <a:ea typeface="+mn-ea"/>
                <a:cs typeface="+mn-cs"/>
              </a:defRPr>
            </a:pPr>
            <a:r>
              <a:rPr lang="en-IN" sz="3200" b="1">
                <a:solidFill>
                  <a:srgbClr val="C00000"/>
                </a:solidFill>
              </a:rPr>
              <a:t>Top Countries By Netflix Content</a:t>
            </a:r>
          </a:p>
        </c:rich>
      </c:tx>
      <c:layout>
        <c:manualLayout>
          <c:xMode val="edge"/>
          <c:yMode val="edge"/>
          <c:x val="0.14889095709960118"/>
          <c:y val="6.5286676182478048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lt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pivotFmt>
    </c:pivotFmts>
    <c:plotArea>
      <c:layout/>
      <c:barChart>
        <c:barDir val="bar"/>
        <c:grouping val="clustered"/>
        <c:varyColors val="0"/>
        <c:ser>
          <c:idx val="0"/>
          <c:order val="0"/>
          <c:tx>
            <c:strRef>
              <c:f>'top 5 countries'!$B$1</c:f>
              <c:strCache>
                <c:ptCount val="1"/>
                <c:pt idx="0">
                  <c:v>Total</c:v>
                </c:pt>
              </c:strCache>
            </c:strRef>
          </c:tx>
          <c:spPr>
            <a:solidFill>
              <a:srgbClr val="C00000"/>
            </a:solidFill>
            <a:ln>
              <a:noFill/>
            </a:ln>
            <a:effectLst/>
          </c:spPr>
          <c:invertIfNegative val="0"/>
          <c:cat>
            <c:strRef>
              <c:f>'top 5 countries'!$A$2:$A$6</c:f>
              <c:strCache>
                <c:ptCount val="4"/>
                <c:pt idx="0">
                  <c:v>Germany</c:v>
                </c:pt>
                <c:pt idx="1">
                  <c:v>Spain</c:v>
                </c:pt>
                <c:pt idx="2">
                  <c:v>United Kingdom</c:v>
                </c:pt>
                <c:pt idx="3">
                  <c:v>United States</c:v>
                </c:pt>
              </c:strCache>
            </c:strRef>
          </c:cat>
          <c:val>
            <c:numRef>
              <c:f>'top 5 countries'!$B$2:$B$6</c:f>
              <c:numCache>
                <c:formatCode>General</c:formatCode>
                <c:ptCount val="4"/>
                <c:pt idx="0">
                  <c:v>1</c:v>
                </c:pt>
                <c:pt idx="1">
                  <c:v>1</c:v>
                </c:pt>
                <c:pt idx="2">
                  <c:v>1</c:v>
                </c:pt>
                <c:pt idx="3">
                  <c:v>7</c:v>
                </c:pt>
              </c:numCache>
            </c:numRef>
          </c:val>
          <c:extLst>
            <c:ext xmlns:c16="http://schemas.microsoft.com/office/drawing/2014/chart" uri="{C3380CC4-5D6E-409C-BE32-E72D297353CC}">
              <c16:uniqueId val="{00000000-8EE4-4D45-B3DA-575E68344115}"/>
            </c:ext>
          </c:extLst>
        </c:ser>
        <c:dLbls>
          <c:showLegendKey val="0"/>
          <c:showVal val="0"/>
          <c:showCatName val="0"/>
          <c:showSerName val="0"/>
          <c:showPercent val="0"/>
          <c:showBubbleSize val="0"/>
        </c:dLbls>
        <c:gapWidth val="182"/>
        <c:axId val="135829768"/>
        <c:axId val="135824368"/>
      </c:barChart>
      <c:catAx>
        <c:axId val="135829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lt1"/>
                </a:solidFill>
                <a:latin typeface="+mn-lt"/>
                <a:ea typeface="+mn-ea"/>
                <a:cs typeface="+mn-cs"/>
              </a:defRPr>
            </a:pPr>
            <a:endParaRPr lang="en-US"/>
          </a:p>
        </c:txPr>
        <c:crossAx val="135824368"/>
        <c:crosses val="autoZero"/>
        <c:auto val="1"/>
        <c:lblAlgn val="ctr"/>
        <c:lblOffset val="100"/>
        <c:noMultiLvlLbl val="0"/>
      </c:catAx>
      <c:valAx>
        <c:axId val="135824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en-US"/>
          </a:p>
        </c:txPr>
        <c:crossAx val="135829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0" i="0" u="none" strike="noStrike" kern="1200" baseline="0">
              <a:solidFill>
                <a:schemeClr val="lt1"/>
              </a:solidFill>
              <a:latin typeface="+mn-lt"/>
              <a:ea typeface="+mn-ea"/>
              <a:cs typeface="+mn-cs"/>
            </a:defRPr>
          </a:pPr>
          <a:endParaRPr lang="en-US"/>
        </a:p>
      </c:txPr>
    </c:legend>
    <c:plotVisOnly val="1"/>
    <c:dispBlanksAs val="gap"/>
    <c:showDLblsOverMax val="0"/>
    <c:extLst>
      <c:ext uri="{0b15fc19-7d7d-44ad-8c2d-2c3a37ce22c3}">
        <chartProps xmlns="https://web.wps.cn/et/2018/main" chartId="{9b81c79a-3ec6-42c1-ab9a-e20e6dd5de07}"/>
      </c:ext>
    </c:extLst>
  </c:chart>
  <c:spPr>
    <a:solidFill>
      <a:schemeClr val="dk1"/>
    </a:solidFill>
    <a:ln w="12700" cap="flat" cmpd="sng" algn="ctr">
      <a:solidFill>
        <a:schemeClr val="dk1">
          <a:shade val="15000"/>
        </a:schemeClr>
      </a:solidFill>
      <a:prstDash val="solid"/>
      <a:miter lim="800000"/>
    </a:ln>
    <a:effectLst>
      <a:outerShdw blurRad="50800" dist="38100" dir="13500000" algn="br" rotWithShape="0">
        <a:prstClr val="black">
          <a:alpha val="40000"/>
        </a:prstClr>
      </a:outerShdw>
    </a:effectLst>
  </c:spPr>
  <c:txPr>
    <a:bodyPr/>
    <a:lstStyle/>
    <a:p>
      <a:pPr>
        <a:defRPr lang="en-US">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[Netflix_Dashboard.xlsx]movie vs tv!PivotTable1</c:name>
    <c:fmtId val="4"/>
  </c:pivotSource>
  <c:chart>
    <c:title>
      <c:tx>
        <c:rich>
          <a:bodyPr rot="0" spcFirstLastPara="1" vertOverflow="ellipsis" vert="horz" wrap="square" anchor="ctr" anchorCtr="1"/>
          <a:lstStyle/>
          <a:p>
            <a:pPr>
              <a:defRPr lang="en-US" sz="3200" b="0" i="0" u="none" strike="noStrike" kern="1200" spc="0" baseline="0">
                <a:solidFill>
                  <a:schemeClr val="lt1"/>
                </a:solidFill>
                <a:latin typeface="+mn-lt"/>
                <a:ea typeface="+mn-ea"/>
                <a:cs typeface="+mn-cs"/>
              </a:defRPr>
            </a:pPr>
            <a:r>
              <a:rPr lang="en-IN" sz="3200" b="1">
                <a:solidFill>
                  <a:srgbClr val="C00000"/>
                </a:solidFill>
              </a:rPr>
              <a:t>Movie VS Tv Shows</a:t>
            </a:r>
          </a:p>
        </c:rich>
      </c:tx>
      <c:overlay val="0"/>
      <c:spPr>
        <a:noFill/>
        <a:ln>
          <a:noFill/>
        </a:ln>
        <a:effectLst/>
      </c:spPr>
      <c:txPr>
        <a:bodyPr rot="0" spcFirstLastPara="1" vertOverflow="ellipsis" vert="horz" wrap="square" anchor="ctr" anchorCtr="1"/>
        <a:lstStyle/>
        <a:p>
          <a:pPr>
            <a:defRPr lang="en-US" sz="32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bg2">
              <a:lumMod val="25000"/>
            </a:schemeClr>
          </a:solidFill>
          <a:ln w="19050">
            <a:solidFill>
              <a:schemeClr val="tx1">
                <a:lumMod val="95000"/>
                <a:lumOff val="5000"/>
              </a:schemeClr>
            </a:solidFill>
          </a:ln>
          <a:effectLst/>
        </c:spPr>
        <c:marker>
          <c:symbol val="none"/>
        </c:marker>
      </c:pivotFmt>
      <c:pivotFmt>
        <c:idx val="1"/>
        <c:spPr>
          <a:solidFill>
            <a:srgbClr val="C00000"/>
          </a:solidFill>
          <a:ln w="19050">
            <a:solidFill>
              <a:schemeClr val="tx1">
                <a:lumMod val="95000"/>
                <a:lumOff val="5000"/>
              </a:schemeClr>
            </a:solidFill>
          </a:ln>
          <a:effectLst/>
        </c:spPr>
      </c:pivotFmt>
      <c:pivotFmt>
        <c:idx val="2"/>
        <c:spPr>
          <a:solidFill>
            <a:schemeClr val="bg2">
              <a:lumMod val="25000"/>
            </a:schemeClr>
          </a:solidFill>
          <a:ln w="19050">
            <a:solidFill>
              <a:schemeClr val="tx1">
                <a:lumMod val="95000"/>
                <a:lumOff val="5000"/>
              </a:schemeClr>
            </a:solidFill>
          </a:ln>
          <a:effectLst/>
        </c:spPr>
      </c:pivotFmt>
    </c:pivotFmts>
    <c:plotArea>
      <c:layout/>
      <c:doughnutChart>
        <c:varyColors val="1"/>
        <c:ser>
          <c:idx val="0"/>
          <c:order val="0"/>
          <c:tx>
            <c:strRef>
              <c:f>'movie vs tv'!$B$3</c:f>
              <c:strCache>
                <c:ptCount val="1"/>
                <c:pt idx="0">
                  <c:v>Total</c:v>
                </c:pt>
              </c:strCache>
            </c:strRef>
          </c:tx>
          <c:spPr>
            <a:solidFill>
              <a:schemeClr val="bg2">
                <a:lumMod val="25000"/>
              </a:schemeClr>
            </a:solidFill>
            <a:ln w="19050">
              <a:solidFill>
                <a:schemeClr val="tx1">
                  <a:lumMod val="95000"/>
                  <a:lumOff val="5000"/>
                </a:schemeClr>
              </a:solidFill>
            </a:ln>
          </c:spPr>
          <c:dPt>
            <c:idx val="0"/>
            <c:bubble3D val="0"/>
            <c:spPr>
              <a:solidFill>
                <a:srgbClr val="C00000"/>
              </a:solidFill>
              <a:ln w="19050">
                <a:solidFill>
                  <a:schemeClr val="tx1">
                    <a:lumMod val="95000"/>
                    <a:lumOff val="5000"/>
                  </a:schemeClr>
                </a:solidFill>
              </a:ln>
              <a:effectLst/>
            </c:spPr>
            <c:extLst>
              <c:ext xmlns:c16="http://schemas.microsoft.com/office/drawing/2014/chart" uri="{C3380CC4-5D6E-409C-BE32-E72D297353CC}">
                <c16:uniqueId val="{00000001-96E1-43A5-A16E-BCCFF0F03DB4}"/>
              </c:ext>
            </c:extLst>
          </c:dPt>
          <c:dPt>
            <c:idx val="1"/>
            <c:bubble3D val="0"/>
            <c:spPr>
              <a:solidFill>
                <a:schemeClr val="bg2">
                  <a:lumMod val="25000"/>
                </a:schemeClr>
              </a:solidFill>
              <a:ln w="19050">
                <a:solidFill>
                  <a:schemeClr val="tx1">
                    <a:lumMod val="95000"/>
                    <a:lumOff val="5000"/>
                  </a:schemeClr>
                </a:solidFill>
              </a:ln>
              <a:effectLst/>
            </c:spPr>
            <c:extLst>
              <c:ext xmlns:c16="http://schemas.microsoft.com/office/drawing/2014/chart" uri="{C3380CC4-5D6E-409C-BE32-E72D297353CC}">
                <c16:uniqueId val="{00000003-96E1-43A5-A16E-BCCFF0F03DB4}"/>
              </c:ext>
            </c:extLst>
          </c:dPt>
          <c:cat>
            <c:strRef>
              <c:f>'movie vs tv'!$A$4:$A$6</c:f>
              <c:strCache>
                <c:ptCount val="2"/>
                <c:pt idx="0">
                  <c:v>Movie</c:v>
                </c:pt>
                <c:pt idx="1">
                  <c:v>TV Show</c:v>
                </c:pt>
              </c:strCache>
            </c:strRef>
          </c:cat>
          <c:val>
            <c:numRef>
              <c:f>'movie vs tv'!$B$4:$B$6</c:f>
              <c:numCache>
                <c:formatCode>General</c:formatCode>
                <c:ptCount val="2"/>
                <c:pt idx="0">
                  <c:v>5</c:v>
                </c:pt>
                <c:pt idx="1">
                  <c:v>5</c:v>
                </c:pt>
              </c:numCache>
            </c:numRef>
          </c:val>
          <c:extLst>
            <c:ext xmlns:c16="http://schemas.microsoft.com/office/drawing/2014/chart" uri="{C3380CC4-5D6E-409C-BE32-E72D297353CC}">
              <c16:uniqueId val="{00000004-96E1-43A5-A16E-BCCFF0F03DB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715871097025701"/>
          <c:y val="0.53408245844269497"/>
          <c:w val="0.183048757909411"/>
          <c:h val="0.245929935841353"/>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lt1"/>
              </a:solidFill>
              <a:latin typeface="+mn-lt"/>
              <a:ea typeface="+mn-ea"/>
              <a:cs typeface="+mn-cs"/>
            </a:defRPr>
          </a:pPr>
          <a:endParaRPr lang="en-US"/>
        </a:p>
      </c:txPr>
    </c:legend>
    <c:plotVisOnly val="1"/>
    <c:dispBlanksAs val="gap"/>
    <c:showDLblsOverMax val="0"/>
    <c:extLst>
      <c:ext uri="{0b15fc19-7d7d-44ad-8c2d-2c3a37ce22c3}">
        <chartProps xmlns="https://web.wps.cn/et/2018/main" chartId="{dd9e584e-9187-423d-a7f3-cdd537611666}"/>
      </c:ext>
    </c:extLst>
  </c:chart>
  <c:spPr>
    <a:solidFill>
      <a:schemeClr val="dk1"/>
    </a:solidFill>
    <a:ln w="12700" cap="flat" cmpd="sng" algn="ctr">
      <a:solidFill>
        <a:schemeClr val="dk1">
          <a:shade val="15000"/>
        </a:schemeClr>
      </a:solidFill>
      <a:prstDash val="solid"/>
      <a:miter lim="800000"/>
    </a:ln>
    <a:effectLst>
      <a:outerShdw blurRad="63500" sx="102000" sy="102000" algn="ctr" rotWithShape="0">
        <a:prstClr val="black">
          <a:alpha val="40000"/>
        </a:prstClr>
      </a:outerShdw>
    </a:effectLst>
  </c:spPr>
  <c:txPr>
    <a:bodyPr/>
    <a:lstStyle/>
    <a:p>
      <a:pPr>
        <a:defRPr lang="en-US">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[Netflix_Dashboard.xlsx]release trend!PivotTable1</c:name>
    <c:fmtId val="4"/>
  </c:pivotSource>
  <c:chart>
    <c:title>
      <c:tx>
        <c:rich>
          <a:bodyPr rot="0" spcFirstLastPara="1" vertOverflow="ellipsis" vert="horz" wrap="square" anchor="ctr" anchorCtr="1"/>
          <a:lstStyle/>
          <a:p>
            <a:pPr>
              <a:defRPr lang="en-US" sz="3200" b="1" i="0" u="none" strike="noStrike" kern="1200" spc="0" baseline="0">
                <a:solidFill>
                  <a:srgbClr val="C00000"/>
                </a:solidFill>
                <a:latin typeface="+mn-lt"/>
                <a:ea typeface="+mn-ea"/>
                <a:cs typeface="+mn-cs"/>
              </a:defRPr>
            </a:pPr>
            <a:r>
              <a:rPr lang="en-IN" sz="3200" b="1">
                <a:solidFill>
                  <a:srgbClr val="C00000"/>
                </a:solidFill>
              </a:rPr>
              <a:t>Netflix Content Release Trend</a:t>
            </a:r>
          </a:p>
        </c:rich>
      </c:tx>
      <c:layout>
        <c:manualLayout>
          <c:xMode val="edge"/>
          <c:yMode val="edge"/>
          <c:x val="0.14630831795117011"/>
          <c:y val="0.12240969878765154"/>
        </c:manualLayout>
      </c:layout>
      <c:overlay val="0"/>
      <c:spPr>
        <a:noFill/>
        <a:ln>
          <a:noFill/>
        </a:ln>
        <a:effectLst/>
      </c:spPr>
      <c:txPr>
        <a:bodyPr rot="0" spcFirstLastPara="1" vertOverflow="ellipsis" vert="horz" wrap="square" anchor="ctr" anchorCtr="1"/>
        <a:lstStyle/>
        <a:p>
          <a:pPr>
            <a:defRPr lang="en-US" sz="3200" b="1" i="0" u="none" strike="noStrike" kern="1200" spc="0" baseline="0">
              <a:solidFill>
                <a:srgbClr val="C00000"/>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pivotFmt>
    </c:pivotFmts>
    <c:plotArea>
      <c:layout/>
      <c:barChart>
        <c:barDir val="col"/>
        <c:grouping val="clustered"/>
        <c:varyColors val="0"/>
        <c:ser>
          <c:idx val="0"/>
          <c:order val="0"/>
          <c:tx>
            <c:strRef>
              <c:f>'release trend'!$B$3</c:f>
              <c:strCache>
                <c:ptCount val="1"/>
                <c:pt idx="0">
                  <c:v>Total</c:v>
                </c:pt>
              </c:strCache>
            </c:strRef>
          </c:tx>
          <c:spPr>
            <a:solidFill>
              <a:srgbClr val="C00000"/>
            </a:solidFill>
            <a:ln>
              <a:noFill/>
            </a:ln>
            <a:effectLst/>
          </c:spPr>
          <c:invertIfNegative val="0"/>
          <c:cat>
            <c:strRef>
              <c:f>'release trend'!$A$4:$A$12</c:f>
              <c:strCache>
                <c:ptCount val="8"/>
                <c:pt idx="0">
                  <c:v>2010</c:v>
                </c:pt>
                <c:pt idx="1">
                  <c:v>2016</c:v>
                </c:pt>
                <c:pt idx="2">
                  <c:v>2017</c:v>
                </c:pt>
                <c:pt idx="3">
                  <c:v>2018</c:v>
                </c:pt>
                <c:pt idx="4">
                  <c:v>2019</c:v>
                </c:pt>
                <c:pt idx="5">
                  <c:v>2020</c:v>
                </c:pt>
                <c:pt idx="6">
                  <c:v>2021</c:v>
                </c:pt>
                <c:pt idx="7">
                  <c:v>2022</c:v>
                </c:pt>
              </c:strCache>
            </c:strRef>
          </c:cat>
          <c:val>
            <c:numRef>
              <c:f>'release trend'!$B$4:$B$12</c:f>
              <c:numCache>
                <c:formatCode>General</c:formatCode>
                <c:ptCount val="8"/>
                <c:pt idx="0">
                  <c:v>1</c:v>
                </c:pt>
                <c:pt idx="1">
                  <c:v>2</c:v>
                </c:pt>
                <c:pt idx="2">
                  <c:v>2</c:v>
                </c:pt>
                <c:pt idx="3">
                  <c:v>1</c:v>
                </c:pt>
                <c:pt idx="4">
                  <c:v>1</c:v>
                </c:pt>
                <c:pt idx="5">
                  <c:v>1</c:v>
                </c:pt>
                <c:pt idx="6">
                  <c:v>1</c:v>
                </c:pt>
                <c:pt idx="7">
                  <c:v>1</c:v>
                </c:pt>
              </c:numCache>
            </c:numRef>
          </c:val>
          <c:extLst>
            <c:ext xmlns:c16="http://schemas.microsoft.com/office/drawing/2014/chart" uri="{C3380CC4-5D6E-409C-BE32-E72D297353CC}">
              <c16:uniqueId val="{00000000-A26B-4B03-BE3A-13CE0C44158B}"/>
            </c:ext>
          </c:extLst>
        </c:ser>
        <c:dLbls>
          <c:showLegendKey val="0"/>
          <c:showVal val="0"/>
          <c:showCatName val="0"/>
          <c:showSerName val="0"/>
          <c:showPercent val="0"/>
          <c:showBubbleSize val="0"/>
        </c:dLbls>
        <c:gapWidth val="219"/>
        <c:overlap val="-27"/>
        <c:axId val="125914424"/>
        <c:axId val="125914064"/>
      </c:barChart>
      <c:catAx>
        <c:axId val="125914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en-US"/>
          </a:p>
        </c:txPr>
        <c:crossAx val="125914064"/>
        <c:crosses val="autoZero"/>
        <c:auto val="1"/>
        <c:lblAlgn val="ctr"/>
        <c:lblOffset val="100"/>
        <c:noMultiLvlLbl val="0"/>
      </c:catAx>
      <c:valAx>
        <c:axId val="12591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en-US"/>
          </a:p>
        </c:txPr>
        <c:crossAx val="125914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en-US"/>
        </a:p>
      </c:txPr>
    </c:legend>
    <c:plotVisOnly val="1"/>
    <c:dispBlanksAs val="gap"/>
    <c:showDLblsOverMax val="0"/>
    <c:extLst>
      <c:ext uri="{0b15fc19-7d7d-44ad-8c2d-2c3a37ce22c3}">
        <chartProps xmlns="https://web.wps.cn/et/2018/main" chartId="{4f9a58a5-7b2b-49a9-a0a1-ef9994248890}"/>
      </c:ext>
    </c:extLst>
  </c:chart>
  <c:spPr>
    <a:solidFill>
      <a:schemeClr val="dk1"/>
    </a:solidFill>
    <a:ln w="12700" cap="flat" cmpd="sng" algn="ctr">
      <a:solidFill>
        <a:schemeClr val="dk1">
          <a:shade val="15000"/>
        </a:schemeClr>
      </a:solidFill>
      <a:prstDash val="solid"/>
      <a:miter lim="800000"/>
    </a:ln>
    <a:effectLst>
      <a:innerShdw blurRad="63500" dist="50800" dir="18900000">
        <a:prstClr val="black">
          <a:alpha val="50000"/>
        </a:prstClr>
      </a:innerShdw>
    </a:effectLst>
  </c:spPr>
  <c:txPr>
    <a:bodyPr/>
    <a:lstStyle/>
    <a:p>
      <a:pPr>
        <a:defRPr lang="en-US">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[Netflix_Dashboard.xlsx]genere chart!PivotTable3</c:name>
    <c:fmtId val="6"/>
  </c:pivotSource>
  <c:chart>
    <c:title>
      <c:tx>
        <c:rich>
          <a:bodyPr rot="0" spcFirstLastPara="1" vertOverflow="ellipsis" vert="horz" wrap="square" anchor="ctr" anchorCtr="1"/>
          <a:lstStyle/>
          <a:p>
            <a:pPr>
              <a:defRPr lang="en-US" sz="3200" b="1" i="0" u="none" strike="noStrike" kern="1200" spc="0" baseline="0">
                <a:solidFill>
                  <a:srgbClr val="C00000"/>
                </a:solidFill>
                <a:latin typeface="+mn-lt"/>
                <a:ea typeface="+mn-ea"/>
                <a:cs typeface="+mn-cs"/>
              </a:defRPr>
            </a:pPr>
            <a:r>
              <a:rPr lang="en-IN" sz="3200" b="1">
                <a:solidFill>
                  <a:srgbClr val="C00000"/>
                </a:solidFill>
              </a:rPr>
              <a:t>Top Genres on Netflix</a:t>
            </a:r>
          </a:p>
        </c:rich>
      </c:tx>
      <c:layout>
        <c:manualLayout>
          <c:xMode val="edge"/>
          <c:yMode val="edge"/>
          <c:x val="0.401224116272898"/>
          <c:y val="5.59986006219719E-2"/>
        </c:manualLayout>
      </c:layout>
      <c:overlay val="0"/>
      <c:spPr>
        <a:noFill/>
        <a:ln>
          <a:noFill/>
        </a:ln>
        <a:effectLst/>
      </c:spPr>
      <c:txPr>
        <a:bodyPr rot="0" spcFirstLastPara="1" vertOverflow="ellipsis" vert="horz" wrap="square" anchor="ctr" anchorCtr="1"/>
        <a:lstStyle/>
        <a:p>
          <a:pPr>
            <a:defRPr lang="en-US" sz="3200" b="1" i="0" u="none" strike="noStrike" kern="1200" spc="0" baseline="0">
              <a:solidFill>
                <a:srgbClr val="C00000"/>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pivotFmt>
    </c:pivotFmts>
    <c:plotArea>
      <c:layout>
        <c:manualLayout>
          <c:layoutTarget val="inner"/>
          <c:xMode val="edge"/>
          <c:yMode val="edge"/>
          <c:x val="0.11897276856722849"/>
          <c:y val="0.19231082445277894"/>
          <c:w val="0.76818396257951205"/>
          <c:h val="0.63923169013136305"/>
        </c:manualLayout>
      </c:layout>
      <c:barChart>
        <c:barDir val="bar"/>
        <c:grouping val="clustered"/>
        <c:varyColors val="0"/>
        <c:ser>
          <c:idx val="0"/>
          <c:order val="0"/>
          <c:tx>
            <c:strRef>
              <c:f>'genere chart'!$B$3</c:f>
              <c:strCache>
                <c:ptCount val="1"/>
                <c:pt idx="0">
                  <c:v>Total</c:v>
                </c:pt>
              </c:strCache>
            </c:strRef>
          </c:tx>
          <c:spPr>
            <a:solidFill>
              <a:srgbClr val="C00000"/>
            </a:solidFill>
            <a:ln>
              <a:noFill/>
            </a:ln>
            <a:effectLst/>
          </c:spPr>
          <c:invertIfNegative val="0"/>
          <c:cat>
            <c:strRef>
              <c:f>'genere chart'!$A$4:$A$13</c:f>
              <c:strCache>
                <c:ptCount val="9"/>
                <c:pt idx="0">
                  <c:v>Sci-Fi, Thriller</c:v>
                </c:pt>
                <c:pt idx="1">
                  <c:v>Horror, Thriller</c:v>
                </c:pt>
                <c:pt idx="2">
                  <c:v>Drama, Sci-Fi</c:v>
                </c:pt>
                <c:pt idx="3">
                  <c:v>Drama, History</c:v>
                </c:pt>
                <c:pt idx="4">
                  <c:v>Crime, Thriller</c:v>
                </c:pt>
                <c:pt idx="5">
                  <c:v>Crime, Drama</c:v>
                </c:pt>
                <c:pt idx="6">
                  <c:v>Comedy, Mystery</c:v>
                </c:pt>
                <c:pt idx="7">
                  <c:v>Action, Thriller</c:v>
                </c:pt>
                <c:pt idx="8">
                  <c:v>Action, Comedy</c:v>
                </c:pt>
              </c:strCache>
            </c:strRef>
          </c:cat>
          <c:val>
            <c:numRef>
              <c:f>'genere chart'!$B$4:$B$13</c:f>
              <c:numCache>
                <c:formatCode>General</c:formatCode>
                <c:ptCount val="9"/>
                <c:pt idx="0">
                  <c:v>1</c:v>
                </c:pt>
                <c:pt idx="1">
                  <c:v>1</c:v>
                </c:pt>
                <c:pt idx="2">
                  <c:v>2</c:v>
                </c:pt>
                <c:pt idx="3">
                  <c:v>1</c:v>
                </c:pt>
                <c:pt idx="4">
                  <c:v>1</c:v>
                </c:pt>
                <c:pt idx="5">
                  <c:v>1</c:v>
                </c:pt>
                <c:pt idx="6">
                  <c:v>1</c:v>
                </c:pt>
                <c:pt idx="7">
                  <c:v>1</c:v>
                </c:pt>
                <c:pt idx="8">
                  <c:v>1</c:v>
                </c:pt>
              </c:numCache>
            </c:numRef>
          </c:val>
          <c:extLst>
            <c:ext xmlns:c16="http://schemas.microsoft.com/office/drawing/2014/chart" uri="{C3380CC4-5D6E-409C-BE32-E72D297353CC}">
              <c16:uniqueId val="{00000000-CFE2-429D-BB4A-E8BD24C4B8A4}"/>
            </c:ext>
          </c:extLst>
        </c:ser>
        <c:dLbls>
          <c:showLegendKey val="0"/>
          <c:showVal val="0"/>
          <c:showCatName val="0"/>
          <c:showSerName val="0"/>
          <c:showPercent val="0"/>
          <c:showBubbleSize val="0"/>
        </c:dLbls>
        <c:gapWidth val="182"/>
        <c:axId val="368815848"/>
        <c:axId val="533464960"/>
      </c:barChart>
      <c:catAx>
        <c:axId val="368815848"/>
        <c:scaling>
          <c:orientation val="minMax"/>
        </c:scaling>
        <c:delete val="0"/>
        <c:axPos val="l"/>
        <c:title>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en-US"/>
          </a:p>
        </c:txPr>
        <c:crossAx val="533464960"/>
        <c:crosses val="autoZero"/>
        <c:auto val="1"/>
        <c:lblAlgn val="ctr"/>
        <c:lblOffset val="100"/>
        <c:noMultiLvlLbl val="0"/>
      </c:catAx>
      <c:valAx>
        <c:axId val="533464960"/>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lang="en-US"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en-US"/>
          </a:p>
        </c:txPr>
        <c:crossAx val="368815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en-US"/>
        </a:p>
      </c:txPr>
    </c:legend>
    <c:plotVisOnly val="1"/>
    <c:dispBlanksAs val="gap"/>
    <c:showDLblsOverMax val="0"/>
    <c:extLst>
      <c:ext uri="{0b15fc19-7d7d-44ad-8c2d-2c3a37ce22c3}">
        <chartProps xmlns="https://web.wps.cn/et/2018/main" chartId="{c3b2ac0b-8c7c-4999-9b0e-4cb3b95c49d2}"/>
      </c:ext>
    </c:extLst>
  </c:chart>
  <c:spPr>
    <a:solidFill>
      <a:schemeClr val="dk1"/>
    </a:solidFill>
    <a:ln w="12700" cap="flat" cmpd="sng" algn="ctr">
      <a:solidFill>
        <a:schemeClr val="dk1">
          <a:shade val="15000"/>
        </a:schemeClr>
      </a:solidFill>
      <a:prstDash val="solid"/>
      <a:miter lim="800000"/>
    </a:ln>
    <a:effectLst>
      <a:innerShdw blurRad="63500" dist="50800" dir="16200000">
        <a:prstClr val="black">
          <a:alpha val="50000"/>
        </a:prstClr>
      </a:innerShdw>
    </a:effectLst>
  </c:spPr>
  <c:txPr>
    <a:bodyPr/>
    <a:lstStyle/>
    <a:p>
      <a:pPr>
        <a:defRPr lang="en-US">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432954</xdr:colOff>
      <xdr:row>37</xdr:row>
      <xdr:rowOff>25976</xdr:rowOff>
    </xdr:from>
    <xdr:to>
      <xdr:col>27</xdr:col>
      <xdr:colOff>346363</xdr:colOff>
      <xdr:row>58</xdr:row>
      <xdr:rowOff>69272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37</xdr:row>
      <xdr:rowOff>51955</xdr:rowOff>
    </xdr:from>
    <xdr:to>
      <xdr:col>18</xdr:col>
      <xdr:colOff>294409</xdr:colOff>
      <xdr:row>58</xdr:row>
      <xdr:rowOff>68035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502227</xdr:colOff>
      <xdr:row>37</xdr:row>
      <xdr:rowOff>0</xdr:rowOff>
    </xdr:from>
    <xdr:to>
      <xdr:col>37</xdr:col>
      <xdr:colOff>225138</xdr:colOff>
      <xdr:row>57</xdr:row>
      <xdr:rowOff>173182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554182</xdr:colOff>
      <xdr:row>2</xdr:row>
      <xdr:rowOff>17318</xdr:rowOff>
    </xdr:from>
    <xdr:to>
      <xdr:col>33</xdr:col>
      <xdr:colOff>0</xdr:colOff>
      <xdr:row>10</xdr:row>
      <xdr:rowOff>81098</xdr:rowOff>
    </xdr:to>
    <xdr:pic>
      <xdr:nvPicPr>
        <xdr:cNvPr id="10" name="Picture 9" descr="Netflix: Optimizing the user experience and investment decisions using  Machine Learning - Digital Innovation and Transformation"/>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9698182" y="398318"/>
          <a:ext cx="10418618" cy="158778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32</xdr:col>
      <xdr:colOff>585107</xdr:colOff>
      <xdr:row>15</xdr:row>
      <xdr:rowOff>108857</xdr:rowOff>
    </xdr:from>
    <xdr:to>
      <xdr:col>33</xdr:col>
      <xdr:colOff>544286</xdr:colOff>
      <xdr:row>18</xdr:row>
      <xdr:rowOff>95250</xdr:rowOff>
    </xdr:to>
    <xdr:sp macro="" textlink="sheet!I3">
      <xdr:nvSpPr>
        <xdr:cNvPr id="33" name="TextBox 32"/>
        <xdr:cNvSpPr txBox="1"/>
      </xdr:nvSpPr>
      <xdr:spPr>
        <a:xfrm>
          <a:off x="14605635" y="2966085"/>
          <a:ext cx="568960" cy="55816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962C8B-B14F-4D97-AF65-F5344CB8AC3E}" type="TxLink">
            <a:rPr lang="en-US" sz="3200" b="1" i="0" u="none" strike="noStrike">
              <a:solidFill>
                <a:srgbClr val="000000"/>
              </a:solidFill>
              <a:latin typeface="Calibri" panose="020F0502020204030204"/>
              <a:cs typeface="Calibri" panose="020F0502020204030204"/>
            </a:rPr>
            <a:pPr/>
            <a:t>5</a:t>
          </a:fld>
          <a:endParaRPr lang="en-IN" sz="3200" b="1"/>
        </a:p>
      </xdr:txBody>
    </xdr:sp>
    <xdr:clientData/>
  </xdr:twoCellAnchor>
  <xdr:twoCellAnchor>
    <xdr:from>
      <xdr:col>31</xdr:col>
      <xdr:colOff>489856</xdr:colOff>
      <xdr:row>15</xdr:row>
      <xdr:rowOff>27215</xdr:rowOff>
    </xdr:from>
    <xdr:to>
      <xdr:col>32</xdr:col>
      <xdr:colOff>449035</xdr:colOff>
      <xdr:row>18</xdr:row>
      <xdr:rowOff>13608</xdr:rowOff>
    </xdr:to>
    <xdr:sp macro="" textlink="sheet!I3">
      <xdr:nvSpPr>
        <xdr:cNvPr id="39" name="TextBox 38"/>
        <xdr:cNvSpPr txBox="1"/>
      </xdr:nvSpPr>
      <xdr:spPr>
        <a:xfrm>
          <a:off x="13900785" y="2884170"/>
          <a:ext cx="568960" cy="55816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962C8B-B14F-4D97-AF65-F5344CB8AC3E}" type="TxLink">
            <a:rPr lang="en-US" sz="3200" b="1" i="0" u="none" strike="noStrike">
              <a:solidFill>
                <a:srgbClr val="000000"/>
              </a:solidFill>
              <a:latin typeface="Calibri" panose="020F0502020204030204"/>
              <a:cs typeface="Calibri" panose="020F0502020204030204"/>
            </a:rPr>
            <a:pPr/>
            <a:t>5</a:t>
          </a:fld>
          <a:endParaRPr lang="en-IN" sz="3200" b="1"/>
        </a:p>
      </xdr:txBody>
    </xdr:sp>
    <xdr:clientData/>
  </xdr:twoCellAnchor>
  <xdr:twoCellAnchor>
    <xdr:from>
      <xdr:col>13</xdr:col>
      <xdr:colOff>489857</xdr:colOff>
      <xdr:row>15</xdr:row>
      <xdr:rowOff>1</xdr:rowOff>
    </xdr:from>
    <xdr:to>
      <xdr:col>14</xdr:col>
      <xdr:colOff>489856</xdr:colOff>
      <xdr:row>17</xdr:row>
      <xdr:rowOff>163286</xdr:rowOff>
    </xdr:to>
    <xdr:sp macro="" textlink="sheet!I1">
      <xdr:nvSpPr>
        <xdr:cNvPr id="45" name="TextBox 44"/>
        <xdr:cNvSpPr txBox="1"/>
      </xdr:nvSpPr>
      <xdr:spPr>
        <a:xfrm>
          <a:off x="2927985" y="2857500"/>
          <a:ext cx="609600" cy="54419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FD36A9-FD2E-4FEE-995A-8E6C8355CF61}" type="TxLink">
            <a:rPr lang="en-US" sz="3200" b="1" i="0" u="none" strike="noStrike">
              <a:solidFill>
                <a:srgbClr val="000000"/>
              </a:solidFill>
              <a:latin typeface="Calibri" panose="020F0502020204030204"/>
              <a:cs typeface="Calibri" panose="020F0502020204030204"/>
            </a:rPr>
            <a:pPr/>
            <a:t>10</a:t>
          </a:fld>
          <a:endParaRPr lang="en-IN" sz="3200" b="1"/>
        </a:p>
      </xdr:txBody>
    </xdr:sp>
    <xdr:clientData/>
  </xdr:twoCellAnchor>
  <xdr:twoCellAnchor>
    <xdr:from>
      <xdr:col>22</xdr:col>
      <xdr:colOff>421822</xdr:colOff>
      <xdr:row>15</xdr:row>
      <xdr:rowOff>13607</xdr:rowOff>
    </xdr:from>
    <xdr:to>
      <xdr:col>23</xdr:col>
      <xdr:colOff>408215</xdr:colOff>
      <xdr:row>18</xdr:row>
      <xdr:rowOff>0</xdr:rowOff>
    </xdr:to>
    <xdr:sp macro="" textlink="sheet!I2">
      <xdr:nvSpPr>
        <xdr:cNvPr id="49" name="TextBox 48"/>
        <xdr:cNvSpPr txBox="1"/>
      </xdr:nvSpPr>
      <xdr:spPr>
        <a:xfrm>
          <a:off x="8346440" y="2870835"/>
          <a:ext cx="595630" cy="55816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962C8B-B14F-4D97-AF65-F5344CB8AC3E}" type="TxLink">
            <a:rPr lang="en-US" sz="3200" b="1" i="0" u="none" strike="noStrike">
              <a:solidFill>
                <a:srgbClr val="000000"/>
              </a:solidFill>
              <a:latin typeface="Calibri" panose="020F0502020204030204"/>
              <a:cs typeface="Calibri" panose="020F0502020204030204"/>
            </a:rPr>
            <a:pPr/>
            <a:t>5</a:t>
          </a:fld>
          <a:endParaRPr lang="en-US" sz="3200" b="1" i="0" u="none" strike="noStrike">
            <a:solidFill>
              <a:srgbClr val="000000"/>
            </a:solidFill>
            <a:latin typeface="Calibri" panose="020F0502020204030204"/>
            <a:cs typeface="Calibri" panose="020F0502020204030204"/>
          </a:endParaRPr>
        </a:p>
      </xdr:txBody>
    </xdr:sp>
    <xdr:clientData/>
  </xdr:twoCellAnchor>
  <xdr:twoCellAnchor>
    <xdr:from>
      <xdr:col>13</xdr:col>
      <xdr:colOff>449036</xdr:colOff>
      <xdr:row>15</xdr:row>
      <xdr:rowOff>122465</xdr:rowOff>
    </xdr:from>
    <xdr:to>
      <xdr:col>14</xdr:col>
      <xdr:colOff>449035</xdr:colOff>
      <xdr:row>18</xdr:row>
      <xdr:rowOff>95250</xdr:rowOff>
    </xdr:to>
    <xdr:sp macro="" textlink="sheet!I1">
      <xdr:nvSpPr>
        <xdr:cNvPr id="51" name="TextBox 50"/>
        <xdr:cNvSpPr txBox="1"/>
      </xdr:nvSpPr>
      <xdr:spPr>
        <a:xfrm>
          <a:off x="2887345" y="2979420"/>
          <a:ext cx="609600" cy="54483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FD36A9-FD2E-4FEE-995A-8E6C8355CF61}" type="TxLink">
            <a:rPr lang="en-US" sz="3200" b="1" i="0" u="none" strike="noStrike">
              <a:solidFill>
                <a:srgbClr val="000000"/>
              </a:solidFill>
              <a:latin typeface="Calibri" panose="020F0502020204030204"/>
              <a:cs typeface="Calibri" panose="020F0502020204030204"/>
            </a:rPr>
            <a:pPr/>
            <a:t>10</a:t>
          </a:fld>
          <a:endParaRPr lang="en-IN" sz="3200" b="1"/>
        </a:p>
      </xdr:txBody>
    </xdr:sp>
    <xdr:clientData/>
  </xdr:twoCellAnchor>
  <xdr:twoCellAnchor>
    <xdr:from>
      <xdr:col>22</xdr:col>
      <xdr:colOff>435429</xdr:colOff>
      <xdr:row>15</xdr:row>
      <xdr:rowOff>81643</xdr:rowOff>
    </xdr:from>
    <xdr:to>
      <xdr:col>23</xdr:col>
      <xdr:colOff>421822</xdr:colOff>
      <xdr:row>18</xdr:row>
      <xdr:rowOff>68036</xdr:rowOff>
    </xdr:to>
    <xdr:sp macro="" textlink="sheet!I2">
      <xdr:nvSpPr>
        <xdr:cNvPr id="3" name="TextBox 2"/>
        <xdr:cNvSpPr txBox="1"/>
      </xdr:nvSpPr>
      <xdr:spPr>
        <a:xfrm>
          <a:off x="8359775" y="2938780"/>
          <a:ext cx="596265" cy="55816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962C8B-B14F-4D97-AF65-F5344CB8AC3E}" type="TxLink">
            <a:rPr lang="en-US" sz="3200" b="1" i="0" u="none" strike="noStrike">
              <a:solidFill>
                <a:srgbClr val="000000"/>
              </a:solidFill>
              <a:latin typeface="Calibri" panose="020F0502020204030204"/>
              <a:cs typeface="Calibri" panose="020F0502020204030204"/>
            </a:rPr>
            <a:pPr/>
            <a:t>5</a:t>
          </a:fld>
          <a:endParaRPr lang="en-US" sz="3200" b="1" i="0" u="none" strike="noStrike">
            <a:solidFill>
              <a:srgbClr val="000000"/>
            </a:solidFill>
            <a:latin typeface="Calibri" panose="020F0502020204030204"/>
            <a:cs typeface="Calibri" panose="020F0502020204030204"/>
          </a:endParaRPr>
        </a:p>
      </xdr:txBody>
    </xdr:sp>
    <xdr:clientData/>
  </xdr:twoCellAnchor>
  <xdr:twoCellAnchor>
    <xdr:from>
      <xdr:col>9</xdr:col>
      <xdr:colOff>557893</xdr:colOff>
      <xdr:row>12</xdr:row>
      <xdr:rowOff>176893</xdr:rowOff>
    </xdr:from>
    <xdr:to>
      <xdr:col>18</xdr:col>
      <xdr:colOff>312962</xdr:colOff>
      <xdr:row>21</xdr:row>
      <xdr:rowOff>122465</xdr:rowOff>
    </xdr:to>
    <xdr:sp macro="" textlink="">
      <xdr:nvSpPr>
        <xdr:cNvPr id="13" name="Rectangle 12"/>
        <xdr:cNvSpPr/>
      </xdr:nvSpPr>
      <xdr:spPr>
        <a:xfrm>
          <a:off x="557530" y="2462530"/>
          <a:ext cx="5241290" cy="1659890"/>
        </a:xfrm>
        <a:prstGeom prst="rect">
          <a:avLst/>
        </a:prstGeom>
        <a:solidFill>
          <a:schemeClr val="tx1"/>
        </a:solidFill>
        <a:effectLst>
          <a:reflection blurRad="6350" stA="50000" endA="300" endPos="55500" dist="50800" dir="5400000" sy="-100000" algn="bl" rotWithShape="0"/>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4000"/>
            <a:t>        </a:t>
          </a:r>
          <a:r>
            <a:rPr lang="en-IN" sz="4000" b="1">
              <a:solidFill>
                <a:srgbClr val="C00000"/>
              </a:solidFill>
            </a:rPr>
            <a:t>TOTAL</a:t>
          </a:r>
          <a:r>
            <a:rPr lang="en-IN" sz="4000" baseline="0">
              <a:solidFill>
                <a:srgbClr val="C00000"/>
              </a:solidFill>
            </a:rPr>
            <a:t> </a:t>
          </a:r>
          <a:r>
            <a:rPr lang="en-IN" sz="4000" b="1" baseline="0">
              <a:solidFill>
                <a:srgbClr val="C00000"/>
              </a:solidFill>
            </a:rPr>
            <a:t>CONTENT</a:t>
          </a:r>
          <a:endParaRPr lang="en-IN" sz="4000" b="1"/>
        </a:p>
        <a:p>
          <a:pPr algn="l"/>
          <a:endParaRPr lang="en-IN" sz="4000"/>
        </a:p>
        <a:p>
          <a:pPr algn="l"/>
          <a:r>
            <a:rPr lang="en-IN" sz="4000"/>
            <a:t>         </a:t>
          </a:r>
        </a:p>
      </xdr:txBody>
    </xdr:sp>
    <xdr:clientData/>
  </xdr:twoCellAnchor>
  <xdr:twoCellAnchor>
    <xdr:from>
      <xdr:col>13</xdr:col>
      <xdr:colOff>435428</xdr:colOff>
      <xdr:row>17</xdr:row>
      <xdr:rowOff>68037</xdr:rowOff>
    </xdr:from>
    <xdr:to>
      <xdr:col>14</xdr:col>
      <xdr:colOff>435427</xdr:colOff>
      <xdr:row>20</xdr:row>
      <xdr:rowOff>40822</xdr:rowOff>
    </xdr:to>
    <xdr:sp macro="" textlink="sheet!I1">
      <xdr:nvSpPr>
        <xdr:cNvPr id="14" name="TextBox 13"/>
        <xdr:cNvSpPr txBox="1"/>
      </xdr:nvSpPr>
      <xdr:spPr>
        <a:xfrm>
          <a:off x="2873375" y="3306445"/>
          <a:ext cx="609600" cy="54419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FD36A9-FD2E-4FEE-995A-8E6C8355CF61}" type="TxLink">
            <a:rPr lang="en-US" sz="3200" b="1" i="0" u="none" strike="noStrike">
              <a:solidFill>
                <a:srgbClr val="000000"/>
              </a:solidFill>
              <a:latin typeface="Calibri" panose="020F0502020204030204"/>
              <a:cs typeface="Calibri" panose="020F0502020204030204"/>
            </a:rPr>
            <a:pPr/>
            <a:t>10</a:t>
          </a:fld>
          <a:endParaRPr lang="en-IN" sz="3200" b="1"/>
        </a:p>
      </xdr:txBody>
    </xdr:sp>
    <xdr:clientData/>
  </xdr:twoCellAnchor>
  <xdr:twoCellAnchor>
    <xdr:from>
      <xdr:col>19</xdr:col>
      <xdr:colOff>163286</xdr:colOff>
      <xdr:row>13</xdr:row>
      <xdr:rowOff>27215</xdr:rowOff>
    </xdr:from>
    <xdr:to>
      <xdr:col>27</xdr:col>
      <xdr:colOff>408214</xdr:colOff>
      <xdr:row>21</xdr:row>
      <xdr:rowOff>40821</xdr:rowOff>
    </xdr:to>
    <xdr:sp macro="" textlink="">
      <xdr:nvSpPr>
        <xdr:cNvPr id="15" name="Rectangle 14"/>
        <xdr:cNvSpPr/>
      </xdr:nvSpPr>
      <xdr:spPr>
        <a:xfrm>
          <a:off x="6259195" y="2503170"/>
          <a:ext cx="5121275" cy="1537970"/>
        </a:xfrm>
        <a:prstGeom prst="rect">
          <a:avLst/>
        </a:prstGeom>
        <a:solidFill>
          <a:schemeClr val="tx1"/>
        </a:solidFill>
        <a:effectLst>
          <a:reflection blurRad="6350" stA="50000" endA="300" endPos="55000" dir="5400000" sy="-100000" algn="bl" rotWithShape="0"/>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4000" b="0" i="0" u="none" strike="noStrike">
              <a:solidFill>
                <a:schemeClr val="lt1"/>
              </a:solidFill>
              <a:effectLst/>
              <a:latin typeface="+mn-lt"/>
              <a:ea typeface="+mn-ea"/>
              <a:cs typeface="+mn-cs"/>
            </a:rPr>
            <a:t>   </a:t>
          </a:r>
          <a:r>
            <a:rPr lang="en-IN" sz="1100" b="0" i="0" u="none" strike="noStrike">
              <a:solidFill>
                <a:schemeClr val="lt1"/>
              </a:solidFill>
              <a:effectLst/>
              <a:latin typeface="+mn-lt"/>
              <a:ea typeface="+mn-ea"/>
              <a:cs typeface="+mn-cs"/>
            </a:rPr>
            <a:t> </a:t>
          </a:r>
          <a:r>
            <a:rPr lang="en-IN">
              <a:effectLst/>
            </a:rPr>
            <a:t> </a:t>
          </a:r>
          <a:r>
            <a:rPr lang="en-IN" sz="4000">
              <a:effectLst/>
            </a:rPr>
            <a:t>    </a:t>
          </a:r>
          <a:r>
            <a:rPr lang="en-IN" sz="4000" b="1">
              <a:solidFill>
                <a:srgbClr val="C00000"/>
              </a:solidFill>
              <a:effectLst/>
            </a:rPr>
            <a:t>MOVIES</a:t>
          </a:r>
          <a:r>
            <a:rPr lang="en-IN" sz="4000" baseline="0">
              <a:solidFill>
                <a:srgbClr val="C00000"/>
              </a:solidFill>
              <a:effectLst/>
            </a:rPr>
            <a:t> </a:t>
          </a:r>
          <a:r>
            <a:rPr lang="en-IN" sz="4000" b="1" baseline="0">
              <a:solidFill>
                <a:srgbClr val="C00000"/>
              </a:solidFill>
              <a:effectLst/>
            </a:rPr>
            <a:t>COUNT</a:t>
          </a:r>
          <a:endParaRPr lang="en-IN" sz="4000" b="1"/>
        </a:p>
      </xdr:txBody>
    </xdr:sp>
    <xdr:clientData/>
  </xdr:twoCellAnchor>
  <xdr:twoCellAnchor>
    <xdr:from>
      <xdr:col>22</xdr:col>
      <xdr:colOff>517072</xdr:colOff>
      <xdr:row>17</xdr:row>
      <xdr:rowOff>27214</xdr:rowOff>
    </xdr:from>
    <xdr:to>
      <xdr:col>23</xdr:col>
      <xdr:colOff>503465</xdr:colOff>
      <xdr:row>20</xdr:row>
      <xdr:rowOff>13607</xdr:rowOff>
    </xdr:to>
    <xdr:sp macro="" textlink="sheet!I2">
      <xdr:nvSpPr>
        <xdr:cNvPr id="16" name="TextBox 15"/>
        <xdr:cNvSpPr txBox="1"/>
      </xdr:nvSpPr>
      <xdr:spPr>
        <a:xfrm>
          <a:off x="8441690" y="3265170"/>
          <a:ext cx="595630" cy="55816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962C8B-B14F-4D97-AF65-F5344CB8AC3E}" type="TxLink">
            <a:rPr lang="en-US" sz="3200" b="1" i="0" u="none" strike="noStrike">
              <a:solidFill>
                <a:srgbClr val="000000"/>
              </a:solidFill>
              <a:latin typeface="Calibri" panose="020F0502020204030204"/>
              <a:cs typeface="Calibri" panose="020F0502020204030204"/>
            </a:rPr>
            <a:pPr/>
            <a:t>5</a:t>
          </a:fld>
          <a:endParaRPr lang="en-US" sz="3200" b="1" i="0" u="none" strike="noStrike">
            <a:solidFill>
              <a:srgbClr val="000000"/>
            </a:solidFill>
            <a:latin typeface="Calibri" panose="020F0502020204030204"/>
            <a:cs typeface="Calibri" panose="020F0502020204030204"/>
          </a:endParaRPr>
        </a:p>
      </xdr:txBody>
    </xdr:sp>
    <xdr:clientData/>
  </xdr:twoCellAnchor>
  <xdr:twoCellAnchor>
    <xdr:from>
      <xdr:col>28</xdr:col>
      <xdr:colOff>176893</xdr:colOff>
      <xdr:row>12</xdr:row>
      <xdr:rowOff>149679</xdr:rowOff>
    </xdr:from>
    <xdr:to>
      <xdr:col>37</xdr:col>
      <xdr:colOff>149680</xdr:colOff>
      <xdr:row>21</xdr:row>
      <xdr:rowOff>54429</xdr:rowOff>
    </xdr:to>
    <xdr:sp macro="" textlink="">
      <xdr:nvSpPr>
        <xdr:cNvPr id="17" name="Rectangle 16"/>
        <xdr:cNvSpPr/>
      </xdr:nvSpPr>
      <xdr:spPr>
        <a:xfrm>
          <a:off x="11758930" y="2435225"/>
          <a:ext cx="5459095" cy="1619250"/>
        </a:xfrm>
        <a:prstGeom prst="rect">
          <a:avLst/>
        </a:prstGeom>
        <a:effectLst>
          <a:reflection blurRad="6350" stA="50000" endA="300" endPos="55000" dir="5400000" sy="-100000" algn="bl" rotWithShape="0"/>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4000" b="0" i="0" u="none" strike="noStrike">
              <a:solidFill>
                <a:schemeClr val="lt1"/>
              </a:solidFill>
              <a:effectLst/>
              <a:latin typeface="+mn-lt"/>
              <a:ea typeface="+mn-ea"/>
              <a:cs typeface="+mn-cs"/>
            </a:rPr>
            <a:t>      </a:t>
          </a:r>
          <a:r>
            <a:rPr lang="en-IN" sz="4000" b="1" i="0" u="none" strike="noStrike">
              <a:solidFill>
                <a:srgbClr val="C00000"/>
              </a:solidFill>
              <a:effectLst/>
              <a:latin typeface="+mn-lt"/>
              <a:ea typeface="+mn-ea"/>
              <a:cs typeface="+mn-cs"/>
            </a:rPr>
            <a:t>TV </a:t>
          </a:r>
          <a:r>
            <a:rPr lang="en-IN" sz="1100" b="1" i="0" u="none" strike="noStrike">
              <a:solidFill>
                <a:srgbClr val="C00000"/>
              </a:solidFill>
              <a:effectLst/>
              <a:latin typeface="+mn-lt"/>
              <a:ea typeface="+mn-ea"/>
              <a:cs typeface="+mn-cs"/>
            </a:rPr>
            <a:t> </a:t>
          </a:r>
          <a:r>
            <a:rPr lang="en-IN" sz="4000" b="1" i="0" u="none" strike="noStrike">
              <a:solidFill>
                <a:srgbClr val="C00000"/>
              </a:solidFill>
              <a:effectLst/>
              <a:latin typeface="+mn-lt"/>
              <a:ea typeface="+mn-ea"/>
              <a:cs typeface="+mn-cs"/>
            </a:rPr>
            <a:t>SHOWS </a:t>
          </a:r>
          <a:r>
            <a:rPr lang="en-IN" sz="1100" b="1" i="0" u="none" strike="noStrike">
              <a:solidFill>
                <a:srgbClr val="C00000"/>
              </a:solidFill>
              <a:effectLst/>
              <a:latin typeface="+mn-lt"/>
              <a:ea typeface="+mn-ea"/>
              <a:cs typeface="+mn-cs"/>
            </a:rPr>
            <a:t> </a:t>
          </a:r>
          <a:r>
            <a:rPr lang="en-IN" sz="4000" b="1" i="0" u="none" strike="noStrike">
              <a:solidFill>
                <a:srgbClr val="C00000"/>
              </a:solidFill>
              <a:effectLst/>
              <a:latin typeface="+mn-lt"/>
              <a:ea typeface="+mn-ea"/>
              <a:cs typeface="+mn-cs"/>
            </a:rPr>
            <a:t>COUNT</a:t>
          </a:r>
          <a:r>
            <a:rPr lang="en-IN" b="1">
              <a:solidFill>
                <a:srgbClr val="C00000"/>
              </a:solidFill>
              <a:effectLst/>
            </a:rPr>
            <a:t> </a:t>
          </a:r>
          <a:endParaRPr lang="en-IN" sz="1100" b="1">
            <a:solidFill>
              <a:srgbClr val="C00000"/>
            </a:solidFill>
          </a:endParaRPr>
        </a:p>
      </xdr:txBody>
    </xdr:sp>
    <xdr:clientData/>
  </xdr:twoCellAnchor>
  <xdr:twoCellAnchor>
    <xdr:from>
      <xdr:col>31</xdr:col>
      <xdr:colOff>489856</xdr:colOff>
      <xdr:row>17</xdr:row>
      <xdr:rowOff>27215</xdr:rowOff>
    </xdr:from>
    <xdr:to>
      <xdr:col>32</xdr:col>
      <xdr:colOff>449035</xdr:colOff>
      <xdr:row>20</xdr:row>
      <xdr:rowOff>13608</xdr:rowOff>
    </xdr:to>
    <xdr:sp macro="" textlink="sheet!I3">
      <xdr:nvSpPr>
        <xdr:cNvPr id="18" name="TextBox 17"/>
        <xdr:cNvSpPr txBox="1"/>
      </xdr:nvSpPr>
      <xdr:spPr>
        <a:xfrm>
          <a:off x="13900785" y="3265170"/>
          <a:ext cx="568960" cy="55816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962C8B-B14F-4D97-AF65-F5344CB8AC3E}" type="TxLink">
            <a:rPr lang="en-US" sz="3200" b="1" i="0" u="none" strike="noStrike">
              <a:solidFill>
                <a:srgbClr val="000000"/>
              </a:solidFill>
              <a:latin typeface="Calibri" panose="020F0502020204030204"/>
              <a:cs typeface="Calibri" panose="020F0502020204030204"/>
            </a:rPr>
            <a:pPr/>
            <a:t>5</a:t>
          </a:fld>
          <a:endParaRPr lang="en-IN" sz="3200" b="1"/>
        </a:p>
      </xdr:txBody>
    </xdr:sp>
    <xdr:clientData/>
  </xdr:twoCellAnchor>
  <xdr:twoCellAnchor>
    <xdr:from>
      <xdr:col>9</xdr:col>
      <xdr:colOff>554183</xdr:colOff>
      <xdr:row>61</xdr:row>
      <xdr:rowOff>138545</xdr:rowOff>
    </xdr:from>
    <xdr:to>
      <xdr:col>37</xdr:col>
      <xdr:colOff>294411</xdr:colOff>
      <xdr:row>85</xdr:row>
      <xdr:rowOff>34636</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554183</xdr:colOff>
      <xdr:row>24</xdr:row>
      <xdr:rowOff>103910</xdr:rowOff>
    </xdr:from>
    <xdr:to>
      <xdr:col>18</xdr:col>
      <xdr:colOff>294408</xdr:colOff>
      <xdr:row>33</xdr:row>
      <xdr:rowOff>0</xdr:rowOff>
    </xdr:to>
    <mc:AlternateContent xmlns:mc="http://schemas.openxmlformats.org/markup-compatibility/2006" xmlns:a14="http://schemas.microsoft.com/office/drawing/2010/main">
      <mc:Choice Requires="a14">
        <xdr:graphicFrame macro="">
          <xdr:nvGraphicFramePr>
            <xdr:cNvPr id="24" name="type 2"/>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mlns="">
        <xdr:sp macro="" textlink="">
          <xdr:nvSpPr>
            <xdr:cNvPr id="0" name=""/>
            <xdr:cNvSpPr>
              <a:spLocks noTextEdit="1"/>
            </xdr:cNvSpPr>
          </xdr:nvSpPr>
          <xdr:spPr>
            <a:xfrm>
              <a:off x="6040583" y="4675910"/>
              <a:ext cx="5226625" cy="1610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259774</xdr:colOff>
      <xdr:row>24</xdr:row>
      <xdr:rowOff>102180</xdr:rowOff>
    </xdr:from>
    <xdr:to>
      <xdr:col>37</xdr:col>
      <xdr:colOff>155865</xdr:colOff>
      <xdr:row>32</xdr:row>
      <xdr:rowOff>173182</xdr:rowOff>
    </xdr:to>
    <mc:AlternateContent xmlns:mc="http://schemas.openxmlformats.org/markup-compatibility/2006" xmlns:a14="http://schemas.microsoft.com/office/drawing/2010/main">
      <mc:Choice Requires="a14">
        <xdr:graphicFrame macro="">
          <xdr:nvGraphicFramePr>
            <xdr:cNvPr id="25" name="country 2"/>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7328574" y="4674180"/>
              <a:ext cx="5382491" cy="1595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450273</xdr:colOff>
      <xdr:row>24</xdr:row>
      <xdr:rowOff>69273</xdr:rowOff>
    </xdr:from>
    <xdr:to>
      <xdr:col>27</xdr:col>
      <xdr:colOff>432955</xdr:colOff>
      <xdr:row>33</xdr:row>
      <xdr:rowOff>51955</xdr:rowOff>
    </xdr:to>
    <mc:AlternateContent xmlns:mc="http://schemas.openxmlformats.org/markup-compatibility/2006" xmlns:a14="http://schemas.microsoft.com/office/drawing/2010/main">
      <mc:Choice Requires="a14">
        <xdr:graphicFrame macro="">
          <xdr:nvGraphicFramePr>
            <xdr:cNvPr id="26" name="release_year 1"/>
            <xdr:cNvGraphicFramePr/>
          </xdr:nvGraphicFramePr>
          <xdr:xfrm>
            <a:off x="0" y="0"/>
            <a:ext cx="0" cy="0"/>
          </xdr:xfrm>
          <a:graphic>
            <a:graphicData uri="http://schemas.microsoft.com/office/drawing/2010/slicer">
              <sle:slicer xmlns:sle="http://schemas.microsoft.com/office/drawing/2010/slicer" name="release_year 1"/>
            </a:graphicData>
          </a:graphic>
        </xdr:graphicFrame>
      </mc:Choice>
      <mc:Fallback xmlns="">
        <xdr:sp macro="" textlink="">
          <xdr:nvSpPr>
            <xdr:cNvPr id="0" name=""/>
            <xdr:cNvSpPr>
              <a:spLocks noTextEdit="1"/>
            </xdr:cNvSpPr>
          </xdr:nvSpPr>
          <xdr:spPr>
            <a:xfrm>
              <a:off x="12032673" y="4641273"/>
              <a:ext cx="4859482" cy="1697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36.9761947917" createdVersion="8" refreshedVersion="8" minRefreshableVersion="3" recordCount="10">
  <cacheSource type="worksheet">
    <worksheetSource name="Table1"/>
  </cacheSource>
  <cacheFields count="7">
    <cacheField name="show_id" numFmtId="0">
      <sharedItems containsNonDate="0"/>
    </cacheField>
    <cacheField name="type" numFmtId="0">
      <sharedItems count="2">
        <s v="Movie"/>
        <s v="TV Show"/>
      </sharedItems>
    </cacheField>
    <cacheField name="title" numFmtId="0">
      <sharedItems count="10">
        <s v="Inception"/>
        <s v="Stranger Things"/>
        <s v="The Irishman"/>
        <s v="Money Heist"/>
        <s v="Extraction"/>
        <s v="Dark"/>
        <s v="Bird Box"/>
        <s v="The Crown"/>
        <s v="Red Notice"/>
        <s v="Wednesday"/>
      </sharedItems>
    </cacheField>
    <cacheField name="country" numFmtId="0">
      <sharedItems count="4">
        <s v="United States"/>
        <s v="Spain"/>
        <s v="Germany"/>
        <s v="United Kingdom"/>
      </sharedItems>
    </cacheField>
    <cacheField name="release_year" numFmtId="0">
      <sharedItems containsSemiMixedTypes="0" containsString="0" containsNumber="1" containsInteger="1" minValue="0" maxValue="2022" count="8">
        <n v="2010"/>
        <n v="2016"/>
        <n v="2019"/>
        <n v="2017"/>
        <n v="2020"/>
        <n v="2018"/>
        <n v="2021"/>
        <n v="2022"/>
      </sharedItems>
    </cacheField>
    <cacheField name="listed_in" numFmtId="0">
      <sharedItems count="9">
        <s v="Sci-Fi, Thriller"/>
        <s v="Drama, Sci-Fi"/>
        <s v="Crime, Drama"/>
        <s v="Crime, Thriller"/>
        <s v="Action, Thriller"/>
        <s v="Horror, Thriller"/>
        <s v="Drama, History"/>
        <s v="Action, Comedy"/>
        <s v="Comedy, Mystery"/>
      </sharedItems>
    </cacheField>
    <cacheField name="duration" numFmtId="0">
      <sharedItems containsNonDate="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1"/>
    <x v="0"/>
    <x v="0"/>
    <x v="0"/>
    <x v="0"/>
    <x v="0"/>
    <s v="148 min"/>
  </r>
  <r>
    <s v="s2"/>
    <x v="1"/>
    <x v="1"/>
    <x v="0"/>
    <x v="1"/>
    <x v="1"/>
    <s v="4 Seasons"/>
  </r>
  <r>
    <s v="s3"/>
    <x v="0"/>
    <x v="2"/>
    <x v="0"/>
    <x v="2"/>
    <x v="2"/>
    <s v="209 min"/>
  </r>
  <r>
    <s v="s4"/>
    <x v="1"/>
    <x v="3"/>
    <x v="1"/>
    <x v="3"/>
    <x v="3"/>
    <s v="5 Seasons"/>
  </r>
  <r>
    <s v="s5"/>
    <x v="0"/>
    <x v="4"/>
    <x v="0"/>
    <x v="4"/>
    <x v="4"/>
    <s v="117 min"/>
  </r>
  <r>
    <s v="s6"/>
    <x v="1"/>
    <x v="5"/>
    <x v="2"/>
    <x v="3"/>
    <x v="1"/>
    <s v="3 Seasons"/>
  </r>
  <r>
    <s v="s7"/>
    <x v="0"/>
    <x v="6"/>
    <x v="0"/>
    <x v="5"/>
    <x v="5"/>
    <s v="124 min"/>
  </r>
  <r>
    <s v="s8"/>
    <x v="1"/>
    <x v="7"/>
    <x v="3"/>
    <x v="1"/>
    <x v="6"/>
    <s v="6 Seasons"/>
  </r>
  <r>
    <s v="s9"/>
    <x v="0"/>
    <x v="8"/>
    <x v="0"/>
    <x v="6"/>
    <x v="7"/>
    <s v="118 min"/>
  </r>
  <r>
    <s v="s10"/>
    <x v="1"/>
    <x v="9"/>
    <x v="0"/>
    <x v="7"/>
    <x v="8"/>
    <s v="1 Sea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6">
  <location ref="A3:B12" firstHeaderRow="1" firstDataRow="1" firstDataCol="1" rowPageCount="1" colPageCount="1"/>
  <pivotFields count="7">
    <pivotField showAll="0"/>
    <pivotField axis="axisPage" showAll="0">
      <items count="3">
        <item x="0"/>
        <item x="1"/>
        <item t="default"/>
      </items>
    </pivotField>
    <pivotField dataField="1" showAll="0">
      <items count="11">
        <item x="6"/>
        <item x="5"/>
        <item x="4"/>
        <item x="0"/>
        <item x="3"/>
        <item x="8"/>
        <item x="1"/>
        <item x="7"/>
        <item x="2"/>
        <item x="9"/>
        <item t="default"/>
      </items>
    </pivotField>
    <pivotField showAll="0">
      <items count="5">
        <item x="2"/>
        <item x="1"/>
        <item x="3"/>
        <item x="0"/>
        <item t="default"/>
      </items>
    </pivotField>
    <pivotField axis="axisRow" showAll="0">
      <items count="9">
        <item x="0"/>
        <item x="1"/>
        <item x="3"/>
        <item x="5"/>
        <item x="2"/>
        <item x="4"/>
        <item x="6"/>
        <item x="7"/>
        <item t="default"/>
      </items>
    </pivotField>
    <pivotField showAll="0"/>
    <pivotField showAll="0"/>
  </pivotFields>
  <rowFields count="1">
    <field x="4"/>
  </rowFields>
  <rowItems count="9">
    <i>
      <x/>
    </i>
    <i>
      <x v="1"/>
    </i>
    <i>
      <x v="2"/>
    </i>
    <i>
      <x v="3"/>
    </i>
    <i>
      <x v="4"/>
    </i>
    <i>
      <x v="5"/>
    </i>
    <i>
      <x v="6"/>
    </i>
    <i>
      <x v="7"/>
    </i>
    <i t="grand">
      <x/>
    </i>
  </rowItems>
  <colItems count="1">
    <i/>
  </colItems>
  <pageFields count="1">
    <pageField fld="1" hier="0"/>
  </pageFields>
  <dataFields count="1">
    <dataField name="Count of title" fld="2" subtotal="count"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8">
  <location ref="A3:B6" firstHeaderRow="1" firstDataRow="1" firstDataCol="1"/>
  <pivotFields count="7">
    <pivotField showAll="0"/>
    <pivotField axis="axisRow" showAll="0">
      <items count="3">
        <item x="0"/>
        <item x="1"/>
        <item t="default"/>
      </items>
    </pivotField>
    <pivotField dataField="1" showAll="0">
      <items count="11">
        <item x="6"/>
        <item x="5"/>
        <item x="4"/>
        <item x="0"/>
        <item x="3"/>
        <item x="8"/>
        <item x="1"/>
        <item x="7"/>
        <item x="2"/>
        <item x="9"/>
        <item t="default"/>
      </items>
    </pivotField>
    <pivotField showAll="0">
      <items count="5">
        <item x="2"/>
        <item x="1"/>
        <item x="3"/>
        <item x="0"/>
        <item t="default"/>
      </items>
    </pivotField>
    <pivotField showAll="0"/>
    <pivotField showAll="0"/>
    <pivotField showAll="0"/>
  </pivotFields>
  <rowFields count="1">
    <field x="1"/>
  </rowFields>
  <rowItems count="3">
    <i>
      <x/>
    </i>
    <i>
      <x v="1"/>
    </i>
    <i t="grand">
      <x/>
    </i>
  </rowItems>
  <colItems count="1">
    <i/>
  </colItems>
  <dataFields count="1">
    <dataField name="Count of title" fld="2" subtotal="count" baseField="0" baseItem="0"/>
  </dataField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createdVersion="8" indent="0" outline="1" outlineData="1" multipleFieldFilters="0" chartFormat="8">
  <location ref="A1:B6" firstHeaderRow="1" firstDataRow="1" firstDataCol="1"/>
  <pivotFields count="7">
    <pivotField showAll="0"/>
    <pivotField showAll="0">
      <items count="3">
        <item x="0"/>
        <item x="1"/>
        <item t="default"/>
      </items>
    </pivotField>
    <pivotField dataField="1" showAll="0">
      <items count="11">
        <item x="9"/>
        <item x="6"/>
        <item x="5"/>
        <item x="4"/>
        <item x="0"/>
        <item x="3"/>
        <item x="8"/>
        <item x="1"/>
        <item x="7"/>
        <item x="2"/>
        <item t="default"/>
      </items>
    </pivotField>
    <pivotField axis="axisRow" showAll="0">
      <items count="5">
        <item x="2"/>
        <item x="1"/>
        <item x="3"/>
        <item x="0"/>
        <item t="default"/>
      </items>
    </pivotField>
    <pivotField showAll="0">
      <items count="9">
        <item x="0"/>
        <item x="1"/>
        <item x="3"/>
        <item x="5"/>
        <item x="2"/>
        <item x="4"/>
        <item x="6"/>
        <item x="7"/>
        <item t="default"/>
      </items>
    </pivotField>
    <pivotField showAll="0"/>
    <pivotField showAll="0"/>
  </pivotFields>
  <rowFields count="1">
    <field x="3"/>
  </rowFields>
  <rowItems count="5">
    <i>
      <x/>
    </i>
    <i>
      <x v="1"/>
    </i>
    <i>
      <x v="2"/>
    </i>
    <i>
      <x v="3"/>
    </i>
    <i t="grand">
      <x/>
    </i>
  </rowItems>
  <colItems count="1">
    <i/>
  </colItems>
  <dataFields count="1">
    <dataField name="Count of title" fld="2"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createdVersion="8" indent="0" outline="1" outlineData="1" multipleFieldFilters="0" chartFormat="7">
  <location ref="A3:B13" firstHeaderRow="1" firstDataRow="1" firstDataCol="1"/>
  <pivotFields count="7">
    <pivotField showAll="0"/>
    <pivotField showAll="0">
      <items count="3">
        <item x="0"/>
        <item x="1"/>
        <item t="default"/>
      </items>
    </pivotField>
    <pivotField showAll="0"/>
    <pivotField showAll="0">
      <items count="5">
        <item x="2"/>
        <item x="1"/>
        <item x="3"/>
        <item x="0"/>
        <item t="default"/>
      </items>
    </pivotField>
    <pivotField showAll="0">
      <items count="9">
        <item x="0"/>
        <item x="1"/>
        <item x="3"/>
        <item x="5"/>
        <item x="2"/>
        <item x="4"/>
        <item x="6"/>
        <item x="7"/>
        <item t="default"/>
      </items>
    </pivotField>
    <pivotField axis="axisRow" dataField="1" showAll="0" sortType="descending">
      <items count="10">
        <item x="0"/>
        <item x="5"/>
        <item x="1"/>
        <item x="6"/>
        <item x="3"/>
        <item x="2"/>
        <item x="8"/>
        <item x="4"/>
        <item x="7"/>
        <item t="default"/>
      </items>
    </pivotField>
    <pivotField showAll="0"/>
  </pivotFields>
  <rowFields count="1">
    <field x="5"/>
  </rowFields>
  <rowItems count="10">
    <i>
      <x/>
    </i>
    <i>
      <x v="1"/>
    </i>
    <i>
      <x v="2"/>
    </i>
    <i>
      <x v="3"/>
    </i>
    <i>
      <x v="4"/>
    </i>
    <i>
      <x v="5"/>
    </i>
    <i>
      <x v="6"/>
    </i>
    <i>
      <x v="7"/>
    </i>
    <i>
      <x v="8"/>
    </i>
    <i t="grand">
      <x/>
    </i>
  </rowItems>
  <colItems count="1">
    <i/>
  </colItems>
  <dataFields count="1">
    <dataField name="Count of listed_in" fld="5" subtotal="count"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B8" firstHeaderRow="1" firstDataRow="1" firstDataCol="1"/>
  <pivotFields count="7">
    <pivotField dataField="1" showAll="0"/>
    <pivotField showAll="0"/>
    <pivotField showAll="0"/>
    <pivotField axis="axisRow" showAll="0">
      <items count="5">
        <item x="2"/>
        <item x="1"/>
        <item x="3"/>
        <item x="0"/>
        <item t="default"/>
      </items>
    </pivotField>
    <pivotField showAll="0"/>
    <pivotField showAll="0"/>
    <pivotField showAll="0"/>
  </pivotFields>
  <rowFields count="1">
    <field x="3"/>
  </rowFields>
  <rowItems count="5">
    <i>
      <x/>
    </i>
    <i>
      <x v="1"/>
    </i>
    <i>
      <x v="2"/>
    </i>
    <i>
      <x v="3"/>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4" name="PivotTable2"/>
    <pivotTable tabId="5" name="PivotTable3"/>
    <pivotTable tabId="3" name="PivotTable1"/>
    <pivotTable tabId="2" name="PivotTable1"/>
  </pivotTables>
  <data>
    <tabular pivotCacheId="1">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4" name="PivotTable2"/>
    <pivotTable tabId="5" name="PivotTable3"/>
    <pivotTable tabId="3" name="PivotTable1"/>
    <pivotTable tabId="2" name="PivotTable1"/>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lease_year" sourceName="release_year">
  <pivotTables>
    <pivotTable tabId="5" name="PivotTable3"/>
  </pivotTables>
  <data>
    <tabular pivotCacheId="1">
      <items count="8">
        <i x="0" s="1"/>
        <i x="1" s="1"/>
        <i x="3" s="1"/>
        <i x="5" s="1"/>
        <i x="2" s="1"/>
        <i x="4"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2" cache="Slicer_country" caption="country" columnCount="2" style="Slicer Style 5 2" rowHeight="288000"/>
  <slicer name="type 2" cache="Slicer_type" caption="type" columnCount="2" style="Slicer Style 5 2" rowHeight="288000"/>
  <slicer name="release_year 1" cache="Slicer_release_year" caption="release_year" columnCount="2" style="Slicer Style 5 2" rowHeight="288000"/>
</slicers>
</file>

<file path=xl/tables/table1.xml><?xml version="1.0" encoding="utf-8"?>
<table xmlns="http://schemas.openxmlformats.org/spreadsheetml/2006/main" id="1" name="Table1" displayName="Table1" ref="A1:F11" totalsRowShown="0">
  <autoFilter ref="A1:F11"/>
  <tableColumns count="6">
    <tableColumn id="1" name="show_id"/>
    <tableColumn id="2" name="type"/>
    <tableColumn id="3" name="title"/>
    <tableColumn id="4" name="country"/>
    <tableColumn id="5" name="release_year"/>
    <tableColumn id="6" name="listed_i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11" sqref="B11"/>
    </sheetView>
  </sheetViews>
  <sheetFormatPr defaultColWidth="9" defaultRowHeight="15"/>
  <cols>
    <col min="1" max="1" width="13.140625" customWidth="1"/>
    <col min="2" max="2" width="12.7109375" customWidth="1"/>
  </cols>
  <sheetData>
    <row r="1" spans="1:2">
      <c r="A1" t="s">
        <v>0</v>
      </c>
      <c r="B1" t="s">
        <v>1</v>
      </c>
    </row>
    <row r="3" spans="1:2">
      <c r="A3" t="s">
        <v>2</v>
      </c>
      <c r="B3" t="s">
        <v>3</v>
      </c>
    </row>
    <row r="4" spans="1:2">
      <c r="A4">
        <v>2010</v>
      </c>
      <c r="B4">
        <v>1</v>
      </c>
    </row>
    <row r="5" spans="1:2">
      <c r="A5">
        <v>2016</v>
      </c>
      <c r="B5">
        <v>2</v>
      </c>
    </row>
    <row r="6" spans="1:2">
      <c r="A6">
        <v>2017</v>
      </c>
      <c r="B6">
        <v>2</v>
      </c>
    </row>
    <row r="7" spans="1:2">
      <c r="A7">
        <v>2018</v>
      </c>
      <c r="B7">
        <v>1</v>
      </c>
    </row>
    <row r="8" spans="1:2">
      <c r="A8">
        <v>2019</v>
      </c>
      <c r="B8">
        <v>1</v>
      </c>
    </row>
    <row r="9" spans="1:2">
      <c r="A9">
        <v>2020</v>
      </c>
      <c r="B9">
        <v>1</v>
      </c>
    </row>
    <row r="10" spans="1:2">
      <c r="A10">
        <v>2021</v>
      </c>
      <c r="B10">
        <v>1</v>
      </c>
    </row>
    <row r="11" spans="1:2">
      <c r="A11">
        <v>2022</v>
      </c>
      <c r="B11">
        <v>1</v>
      </c>
    </row>
    <row r="12" spans="1:2">
      <c r="A12" t="s">
        <v>4</v>
      </c>
      <c r="B12">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N10" sqref="N10"/>
    </sheetView>
  </sheetViews>
  <sheetFormatPr defaultColWidth="9" defaultRowHeight="15"/>
  <cols>
    <col min="1" max="1" width="13.140625" customWidth="1"/>
    <col min="2" max="2" width="12.7109375" customWidth="1"/>
  </cols>
  <sheetData>
    <row r="3" spans="1:2">
      <c r="A3" t="s">
        <v>2</v>
      </c>
      <c r="B3" t="s">
        <v>3</v>
      </c>
    </row>
    <row r="4" spans="1:2">
      <c r="A4" t="s">
        <v>5</v>
      </c>
      <c r="B4">
        <v>5</v>
      </c>
    </row>
    <row r="5" spans="1:2">
      <c r="A5" t="s">
        <v>6</v>
      </c>
      <c r="B5">
        <v>5</v>
      </c>
    </row>
    <row r="6" spans="1:2">
      <c r="A6" t="s">
        <v>4</v>
      </c>
      <c r="B6">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P15" sqref="P15"/>
    </sheetView>
  </sheetViews>
  <sheetFormatPr defaultColWidth="9" defaultRowHeight="15"/>
  <cols>
    <col min="1" max="1" width="15.42578125" customWidth="1"/>
    <col min="2" max="2" width="12.7109375" customWidth="1"/>
  </cols>
  <sheetData>
    <row r="1" spans="1:2">
      <c r="A1" s="3" t="s">
        <v>2</v>
      </c>
      <c r="B1" t="s">
        <v>3</v>
      </c>
    </row>
    <row r="2" spans="1:2">
      <c r="A2" s="1" t="s">
        <v>7</v>
      </c>
      <c r="B2" s="4">
        <v>1</v>
      </c>
    </row>
    <row r="3" spans="1:2">
      <c r="A3" s="1" t="s">
        <v>8</v>
      </c>
      <c r="B3" s="4">
        <v>1</v>
      </c>
    </row>
    <row r="4" spans="1:2">
      <c r="A4" s="1" t="s">
        <v>9</v>
      </c>
      <c r="B4" s="4">
        <v>1</v>
      </c>
    </row>
    <row r="5" spans="1:2">
      <c r="A5" s="1" t="s">
        <v>10</v>
      </c>
      <c r="B5" s="4">
        <v>7</v>
      </c>
    </row>
    <row r="6" spans="1:2">
      <c r="A6" s="1" t="s">
        <v>4</v>
      </c>
      <c r="B6" s="4">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G12" sqref="G12"/>
    </sheetView>
  </sheetViews>
  <sheetFormatPr defaultColWidth="9" defaultRowHeight="15"/>
  <cols>
    <col min="1" max="1" width="16.5703125" customWidth="1"/>
    <col min="2" max="2" width="16.85546875" customWidth="1"/>
  </cols>
  <sheetData>
    <row r="3" spans="1:2">
      <c r="A3" s="3" t="s">
        <v>2</v>
      </c>
      <c r="B3" t="s">
        <v>11</v>
      </c>
    </row>
    <row r="4" spans="1:2">
      <c r="A4" s="1" t="s">
        <v>12</v>
      </c>
      <c r="B4" s="4">
        <v>1</v>
      </c>
    </row>
    <row r="5" spans="1:2">
      <c r="A5" s="1" t="s">
        <v>13</v>
      </c>
      <c r="B5" s="4">
        <v>1</v>
      </c>
    </row>
    <row r="6" spans="1:2">
      <c r="A6" s="1" t="s">
        <v>14</v>
      </c>
      <c r="B6" s="4">
        <v>2</v>
      </c>
    </row>
    <row r="7" spans="1:2">
      <c r="A7" s="1" t="s">
        <v>15</v>
      </c>
      <c r="B7" s="4">
        <v>1</v>
      </c>
    </row>
    <row r="8" spans="1:2">
      <c r="A8" s="1" t="s">
        <v>16</v>
      </c>
      <c r="B8" s="4">
        <v>1</v>
      </c>
    </row>
    <row r="9" spans="1:2">
      <c r="A9" s="1" t="s">
        <v>17</v>
      </c>
      <c r="B9" s="4">
        <v>1</v>
      </c>
    </row>
    <row r="10" spans="1:2">
      <c r="A10" s="1" t="s">
        <v>18</v>
      </c>
      <c r="B10" s="4">
        <v>1</v>
      </c>
    </row>
    <row r="11" spans="1:2">
      <c r="A11" s="1" t="s">
        <v>19</v>
      </c>
      <c r="B11" s="4">
        <v>1</v>
      </c>
    </row>
    <row r="12" spans="1:2">
      <c r="A12" s="1" t="s">
        <v>20</v>
      </c>
      <c r="B12" s="4">
        <v>1</v>
      </c>
    </row>
    <row r="13" spans="1:2">
      <c r="A13" s="1" t="s">
        <v>4</v>
      </c>
      <c r="B13" s="4">
        <v>10</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Q11:T18"/>
  <sheetViews>
    <sheetView showGridLines="0" topLeftCell="C1" zoomScale="25" zoomScaleNormal="25" workbookViewId="0">
      <selection activeCell="AU20" sqref="AU20"/>
    </sheetView>
  </sheetViews>
  <sheetFormatPr defaultColWidth="9.140625" defaultRowHeight="15"/>
  <cols>
    <col min="1" max="16384" width="9.140625" style="2"/>
  </cols>
  <sheetData>
    <row r="11" spans="20:20">
      <c r="T11" s="2" t="s">
        <v>21</v>
      </c>
    </row>
    <row r="18" spans="17:17">
      <c r="Q18" s="2" t="s">
        <v>21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topLeftCell="A2" workbookViewId="0">
      <selection activeCell="J18" sqref="J18"/>
    </sheetView>
  </sheetViews>
  <sheetFormatPr defaultColWidth="9" defaultRowHeight="15"/>
  <cols>
    <col min="1" max="1" width="15.42578125" customWidth="1"/>
    <col min="2" max="2" width="16.5703125" customWidth="1"/>
  </cols>
  <sheetData>
    <row r="3" spans="1:2">
      <c r="A3" t="s">
        <v>2</v>
      </c>
      <c r="B3" t="s">
        <v>22</v>
      </c>
    </row>
    <row r="4" spans="1:2">
      <c r="A4" s="1" t="s">
        <v>7</v>
      </c>
      <c r="B4">
        <v>1</v>
      </c>
    </row>
    <row r="5" spans="1:2">
      <c r="A5" s="1" t="s">
        <v>8</v>
      </c>
      <c r="B5">
        <v>1</v>
      </c>
    </row>
    <row r="6" spans="1:2">
      <c r="A6" s="1" t="s">
        <v>9</v>
      </c>
      <c r="B6">
        <v>1</v>
      </c>
    </row>
    <row r="7" spans="1:2">
      <c r="A7" s="1" t="s">
        <v>10</v>
      </c>
      <c r="B7">
        <v>7</v>
      </c>
    </row>
    <row r="8" spans="1:2">
      <c r="A8" s="1" t="s">
        <v>4</v>
      </c>
      <c r="B8">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abSelected="1" zoomScale="115" zoomScaleNormal="115" workbookViewId="0">
      <selection activeCell="I12" sqref="I12"/>
    </sheetView>
  </sheetViews>
  <sheetFormatPr defaultColWidth="9" defaultRowHeight="15"/>
  <cols>
    <col min="1" max="1" width="14.85546875" customWidth="1"/>
    <col min="2" max="2" width="17.7109375" customWidth="1"/>
    <col min="3" max="3" width="17" customWidth="1"/>
    <col min="4" max="4" width="16" customWidth="1"/>
    <col min="5" max="5" width="16.5703125" customWidth="1"/>
    <col min="6" max="6" width="19.85546875" customWidth="1"/>
    <col min="7" max="7" width="17.140625" customWidth="1"/>
    <col min="8" max="8" width="24.7109375" customWidth="1"/>
    <col min="9" max="9" width="20.42578125" customWidth="1"/>
    <col min="10" max="10" width="16.42578125" customWidth="1"/>
  </cols>
  <sheetData>
    <row r="1" spans="1:9">
      <c r="A1" t="s">
        <v>23</v>
      </c>
      <c r="B1" t="s">
        <v>0</v>
      </c>
      <c r="C1" t="s">
        <v>24</v>
      </c>
      <c r="D1" t="s">
        <v>25</v>
      </c>
      <c r="E1" t="s">
        <v>26</v>
      </c>
      <c r="F1" t="s">
        <v>27</v>
      </c>
      <c r="H1" t="s">
        <v>28</v>
      </c>
      <c r="I1">
        <f>COUNTA(A:A)-1</f>
        <v>10</v>
      </c>
    </row>
    <row r="2" spans="1:9">
      <c r="A2" t="s">
        <v>29</v>
      </c>
      <c r="B2" t="s">
        <v>5</v>
      </c>
      <c r="C2" t="s">
        <v>30</v>
      </c>
      <c r="D2" t="s">
        <v>10</v>
      </c>
      <c r="E2">
        <v>2010</v>
      </c>
      <c r="F2" t="s">
        <v>31</v>
      </c>
      <c r="H2" t="s">
        <v>32</v>
      </c>
      <c r="I2">
        <f>COUNTIF(B:B,"Movie")</f>
        <v>5</v>
      </c>
    </row>
    <row r="3" spans="1:9">
      <c r="A3" t="s">
        <v>33</v>
      </c>
      <c r="B3" t="s">
        <v>6</v>
      </c>
      <c r="C3" t="s">
        <v>34</v>
      </c>
      <c r="D3" t="s">
        <v>10</v>
      </c>
      <c r="E3">
        <v>2016</v>
      </c>
      <c r="F3" t="s">
        <v>35</v>
      </c>
      <c r="H3" t="s">
        <v>36</v>
      </c>
      <c r="I3">
        <f>COUNTIF(B:B,"TV Show")</f>
        <v>5</v>
      </c>
    </row>
    <row r="4" spans="1:9">
      <c r="A4" t="s">
        <v>37</v>
      </c>
      <c r="B4" t="s">
        <v>5</v>
      </c>
      <c r="C4" t="s">
        <v>38</v>
      </c>
      <c r="D4" t="s">
        <v>10</v>
      </c>
      <c r="E4">
        <v>2019</v>
      </c>
      <c r="F4" t="s">
        <v>39</v>
      </c>
    </row>
    <row r="5" spans="1:9">
      <c r="A5" t="s">
        <v>40</v>
      </c>
      <c r="B5" t="s">
        <v>6</v>
      </c>
      <c r="C5" t="s">
        <v>41</v>
      </c>
      <c r="D5" t="s">
        <v>8</v>
      </c>
      <c r="E5">
        <v>2017</v>
      </c>
      <c r="F5" t="s">
        <v>39</v>
      </c>
    </row>
    <row r="6" spans="1:9">
      <c r="A6" t="s">
        <v>42</v>
      </c>
      <c r="B6" t="s">
        <v>5</v>
      </c>
      <c r="C6" t="s">
        <v>43</v>
      </c>
      <c r="D6" t="s">
        <v>10</v>
      </c>
      <c r="E6">
        <v>2020</v>
      </c>
      <c r="F6" t="s">
        <v>44</v>
      </c>
    </row>
    <row r="7" spans="1:9">
      <c r="A7" t="s">
        <v>45</v>
      </c>
      <c r="B7" t="s">
        <v>6</v>
      </c>
      <c r="C7" t="s">
        <v>46</v>
      </c>
      <c r="D7" t="s">
        <v>7</v>
      </c>
      <c r="E7">
        <v>2017</v>
      </c>
      <c r="F7" t="s">
        <v>35</v>
      </c>
    </row>
    <row r="8" spans="1:9">
      <c r="A8" t="s">
        <v>47</v>
      </c>
      <c r="B8" t="s">
        <v>5</v>
      </c>
      <c r="C8" t="s">
        <v>48</v>
      </c>
      <c r="D8" t="s">
        <v>10</v>
      </c>
      <c r="E8">
        <v>2018</v>
      </c>
      <c r="F8" t="s">
        <v>49</v>
      </c>
    </row>
    <row r="9" spans="1:9">
      <c r="A9" t="s">
        <v>50</v>
      </c>
      <c r="B9" t="s">
        <v>6</v>
      </c>
      <c r="C9" t="s">
        <v>51</v>
      </c>
      <c r="D9" t="s">
        <v>9</v>
      </c>
      <c r="E9">
        <v>2016</v>
      </c>
      <c r="F9" t="s">
        <v>35</v>
      </c>
    </row>
    <row r="10" spans="1:9">
      <c r="A10" t="s">
        <v>52</v>
      </c>
      <c r="B10" t="s">
        <v>5</v>
      </c>
      <c r="C10" t="s">
        <v>53</v>
      </c>
      <c r="D10" t="s">
        <v>10</v>
      </c>
      <c r="E10">
        <v>2021</v>
      </c>
      <c r="F10" t="s">
        <v>44</v>
      </c>
      <c r="H10" t="s">
        <v>25</v>
      </c>
      <c r="I10" t="s">
        <v>54</v>
      </c>
    </row>
    <row r="11" spans="1:9">
      <c r="A11" t="s">
        <v>55</v>
      </c>
      <c r="B11" t="s">
        <v>6</v>
      </c>
      <c r="C11" t="s">
        <v>56</v>
      </c>
      <c r="D11" t="s">
        <v>10</v>
      </c>
      <c r="E11">
        <v>2022</v>
      </c>
      <c r="F11" t="s">
        <v>57</v>
      </c>
      <c r="H11" t="s">
        <v>10</v>
      </c>
      <c r="I11">
        <f>COUNTIF(sheet!$D:$D,H11)</f>
        <v>7</v>
      </c>
    </row>
    <row r="12" spans="1:9">
      <c r="H12" t="s">
        <v>7</v>
      </c>
      <c r="I12">
        <f>COUNTIF(sheet!$D:$D,H12)</f>
        <v>1</v>
      </c>
    </row>
    <row r="13" spans="1:9">
      <c r="H13" t="s">
        <v>8</v>
      </c>
      <c r="I13">
        <f>COUNTIF(sheet!$D:$D,H13)</f>
        <v>1</v>
      </c>
    </row>
    <row r="14" spans="1:9">
      <c r="H14" t="s">
        <v>9</v>
      </c>
      <c r="I14">
        <f>COUNTIF(sheet!$D:$D,H14)</f>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release trend</vt:lpstr>
      <vt:lpstr>movie vs tv</vt:lpstr>
      <vt:lpstr>top 5 countries</vt:lpstr>
      <vt:lpstr>genere chart</vt:lpstr>
      <vt:lpstr>dashboard</vt:lpstr>
      <vt:lpstr>Sheet2</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2026-01-14T17:32:00Z</dcterms:created>
  <dcterms:modified xsi:type="dcterms:W3CDTF">2026-03-20T15:48:44Z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77743A1BF88A4EDD92058D1C96449DB6_12</vt:lpwstr>
  </property>
  <property fmtid="{D5CDD505-2E9C-101B-9397-08002B2CF9AE}" pid="3" name="KSOProductBuildVer">
    <vt:lpwstr>1033-12.2.0.23196</vt:lpwstr>
  </property>
</Properties>
</file>